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426" codeName="{4D1C537B-E38A-612A-F078-A93A15B4B7F4}"/>
  <workbookPr codeName="ThisWorkbook"/>
  <mc:AlternateContent xmlns:mc="http://schemas.openxmlformats.org/markup-compatibility/2006">
    <mc:Choice Requires="x15">
      <x15ac:absPath xmlns:x15ac="http://schemas.microsoft.com/office/spreadsheetml/2010/11/ac" url="C:\Users\jgarner47\Dropbox (GaTech)\OMSA\cases\"/>
    </mc:Choice>
  </mc:AlternateContent>
  <xr:revisionPtr revIDLastSave="0" documentId="8_{8BCDC977-BD00-4527-B0F7-36CD4DF04433}" xr6:coauthVersionLast="45" xr6:coauthVersionMax="45" xr10:uidLastSave="{00000000-0000-0000-0000-000000000000}"/>
  <bookViews>
    <workbookView xWindow="-120" yWindow="-120" windowWidth="29040" windowHeight="15840" firstSheet="3" activeTab="3" xr2:uid="{00000000-000D-0000-FFFF-FFFF00000000}"/>
  </bookViews>
  <sheets>
    <sheet name="Information" sheetId="2" state="veryHidden" r:id="rId1"/>
    <sheet name="Val Input" sheetId="5" state="veryHidden" r:id="rId2"/>
    <sheet name="Valuation FCFF and FCFE and APV" sheetId="6" state="veryHidden" r:id="rId3"/>
    <sheet name="Announcement" sheetId="1" r:id="rId4"/>
    <sheet name="LogRecord" sheetId="3" state="veryHidden" r:id="rId5"/>
  </sheet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3" i="5" l="1"/>
  <c r="B44" i="6" l="1"/>
  <c r="B22" i="6"/>
  <c r="C5" i="6"/>
  <c r="C4" i="6"/>
  <c r="C3" i="6"/>
  <c r="C14" i="5"/>
  <c r="C15" i="5" s="1"/>
  <c r="C26" i="5"/>
  <c r="C33" i="5"/>
  <c r="D33" i="5"/>
  <c r="E33" i="5"/>
  <c r="F33" i="5"/>
  <c r="V34" i="5"/>
  <c r="V35" i="5"/>
  <c r="V36" i="5"/>
  <c r="D14" i="5"/>
  <c r="D22" i="5"/>
  <c r="D19" i="5"/>
  <c r="D15" i="5"/>
  <c r="C22" i="5" l="1"/>
  <c r="C19" i="5"/>
  <c r="V33" i="5"/>
</calcChain>
</file>

<file path=xl/sharedStrings.xml><?xml version="1.0" encoding="utf-8"?>
<sst xmlns="http://schemas.openxmlformats.org/spreadsheetml/2006/main" count="252" uniqueCount="132">
  <si>
    <t>Date</t>
  </si>
  <si>
    <t>Time</t>
  </si>
  <si>
    <t>Username</t>
  </si>
  <si>
    <t>Computer Name</t>
  </si>
  <si>
    <t>Warning: You must enable macros in order to access the data for this assignment. If you are seeing this message, macros have not been enabled. Please close the workbook and enable macros before re-opening it. If you have correctly enabled macros, you will be able to access the assignment data and will no longer see this message</t>
  </si>
  <si>
    <t>GTID:</t>
  </si>
  <si>
    <t>jacqu</t>
  </si>
  <si>
    <t>DESKTOP-LARUAH2</t>
  </si>
  <si>
    <t>*</t>
  </si>
  <si>
    <t>Unlevered cost of equity</t>
  </si>
  <si>
    <t xml:space="preserve"> </t>
  </si>
  <si>
    <t>Growth rates (terminal)</t>
  </si>
  <si>
    <t>Total</t>
  </si>
  <si>
    <t>Year</t>
  </si>
  <si>
    <t>MACRS TABLE</t>
  </si>
  <si>
    <t>MACRS Life</t>
  </si>
  <si>
    <t>Unlevered Re</t>
  </si>
  <si>
    <t>COGS % Revenue</t>
  </si>
  <si>
    <t>Sales</t>
  </si>
  <si>
    <t>Terminal growth</t>
  </si>
  <si>
    <t>Life</t>
  </si>
  <si>
    <t>Difference</t>
  </si>
  <si>
    <t xml:space="preserve">Sales price of project </t>
  </si>
  <si>
    <t>Initial Capital/Project cost</t>
  </si>
  <si>
    <t>Shares outstanding</t>
  </si>
  <si>
    <t>Re x E/V + Rd x D/V</t>
  </si>
  <si>
    <t>Pretax WACC check</t>
  </si>
  <si>
    <t>Note:  the unlevered cost of equity is the same as the "pre-tax WACC"</t>
  </si>
  <si>
    <t>Re x E/V + D/V x Rd x (1-T)</t>
  </si>
  <si>
    <t>WACC</t>
  </si>
  <si>
    <t>New debt issued each year</t>
  </si>
  <si>
    <t>Initial debt</t>
  </si>
  <si>
    <t>cost of debt</t>
  </si>
  <si>
    <r>
      <t>R</t>
    </r>
    <r>
      <rPr>
        <vertAlign val="subscript"/>
        <sz val="11"/>
        <color theme="1"/>
        <rFont val="Calibri"/>
        <family val="2"/>
        <scheme val="minor"/>
      </rPr>
      <t>D</t>
    </r>
  </si>
  <si>
    <t>levered cost of equity</t>
  </si>
  <si>
    <r>
      <t>R</t>
    </r>
    <r>
      <rPr>
        <vertAlign val="subscript"/>
        <sz val="11"/>
        <color theme="1"/>
        <rFont val="Calibri"/>
        <family val="2"/>
        <scheme val="minor"/>
      </rPr>
      <t>e</t>
    </r>
  </si>
  <si>
    <t>D/E</t>
  </si>
  <si>
    <t>Pulling this from the valuation sheet</t>
  </si>
  <si>
    <t>Debt ratio for the firm =</t>
  </si>
  <si>
    <t>Firm Value</t>
  </si>
  <si>
    <t>Unlevered cost equity</t>
  </si>
  <si>
    <t>Cost % Revenue</t>
  </si>
  <si>
    <t>Revenue</t>
  </si>
  <si>
    <t>Tax rate =</t>
  </si>
  <si>
    <t>Net cap ex as % EBIT (1-T) terminal period</t>
  </si>
  <si>
    <t>NWC as % EBIT (1-T) Terminal period</t>
  </si>
  <si>
    <t>Net cap ex as % EBIT (1-T) Forecast period</t>
  </si>
  <si>
    <t>NWC as % EBIT (1-T) Forecast period</t>
  </si>
  <si>
    <t>Growth for terminal value period</t>
  </si>
  <si>
    <t>Growth for forecast period</t>
  </si>
  <si>
    <t>Three required returns</t>
  </si>
  <si>
    <t>Operating costs % revenues</t>
  </si>
  <si>
    <t>Within each of those:  Calculate FCFF, FCFE, and the APV</t>
  </si>
  <si>
    <t>Revenues</t>
  </si>
  <si>
    <t xml:space="preserve">Build a firm valuation model AND a capital budgeting model </t>
  </si>
  <si>
    <t>Firm valuation = 1; Project = 2</t>
  </si>
  <si>
    <t>Inputs</t>
  </si>
  <si>
    <t>Three Models:  APV, FCFF, FCFE</t>
  </si>
  <si>
    <t xml:space="preserve">FCFF model value of firm </t>
  </si>
  <si>
    <t xml:space="preserve">FCFE model value </t>
  </si>
  <si>
    <t>APV Value</t>
  </si>
  <si>
    <t>Free Cash Flows to the Firm</t>
  </si>
  <si>
    <t>Terminal value #s</t>
  </si>
  <si>
    <t>Operating Costs</t>
  </si>
  <si>
    <t>EBIT</t>
  </si>
  <si>
    <t>Taxes</t>
  </si>
  <si>
    <t>EBIT(1-T)</t>
  </si>
  <si>
    <t xml:space="preserve">Operating cash flow </t>
  </si>
  <si>
    <t>Less Change in NWC</t>
  </si>
  <si>
    <t>Total Cash flows from investment</t>
  </si>
  <si>
    <t>FCFs to FIRM (FCFF)</t>
  </si>
  <si>
    <t>TV 5 = FCF 6 / (r-g)</t>
  </si>
  <si>
    <t>Levered cash flows</t>
  </si>
  <si>
    <t>Free cash flow to equity</t>
  </si>
  <si>
    <t>Take out repayments of debt and interest, and add any new debt</t>
  </si>
  <si>
    <t>Interest Expense</t>
  </si>
  <si>
    <t>EBT</t>
  </si>
  <si>
    <t>Net Income</t>
  </si>
  <si>
    <t>Cash flow from operations</t>
  </si>
  <si>
    <t xml:space="preserve">Less Change in Net Working Capital </t>
  </si>
  <si>
    <t xml:space="preserve">Total investment </t>
  </si>
  <si>
    <t xml:space="preserve"> + New Debt Issued  OR  - Debt repayments</t>
  </si>
  <si>
    <t>Free Cash flow  Equity (FCFE)</t>
  </si>
  <si>
    <t>Capital Structure</t>
  </si>
  <si>
    <t>Debt + equity (firm value per APV)</t>
  </si>
  <si>
    <t>Debt</t>
  </si>
  <si>
    <t>Equity value (Firm value less debt)</t>
  </si>
  <si>
    <t>D/(D+E)</t>
  </si>
  <si>
    <t>E/(D+E)</t>
  </si>
  <si>
    <t>Levered cost equity (For FCFE)</t>
  </si>
  <si>
    <t>Re = Ru + (Ru-Rd) x D/E</t>
  </si>
  <si>
    <t>WACC (For FCFF)</t>
  </si>
  <si>
    <t>WACC = D/V  x Rd x (1-T) + E/V x Re</t>
  </si>
  <si>
    <t>Unlevered cost equity check (For APV)</t>
  </si>
  <si>
    <t>Unlevered cost equity check</t>
  </si>
  <si>
    <t>Recall:  Re = Ru + (Ru-Rd) x D/E</t>
  </si>
  <si>
    <t>So now we solve for Ru:</t>
  </si>
  <si>
    <t>Re = Ru + Ru x D/E -Rd x D/E</t>
  </si>
  <si>
    <t>APV model</t>
  </si>
  <si>
    <t>Re = Ru (1+ D/E) - Rd x D/E</t>
  </si>
  <si>
    <t xml:space="preserve">Free cash flows from the firm, discounted at the unlevered cost of equity, also known as the "pre-tax WACC"  </t>
  </si>
  <si>
    <t>Re + Rd x D/E = Ru x (1+D/E)</t>
  </si>
  <si>
    <t>Add present value of tax shields</t>
  </si>
  <si>
    <t>Re + Rd x D/E / (1+D/E) = Ru</t>
  </si>
  <si>
    <t>Terminal year</t>
  </si>
  <si>
    <t xml:space="preserve">Free cash flows from the firm </t>
  </si>
  <si>
    <t>Value of unlevered firm (Vu)</t>
  </si>
  <si>
    <t>Tax shield benefit</t>
  </si>
  <si>
    <t>PV of Tax shields</t>
  </si>
  <si>
    <t>Total value of firm =     Value of Vu
                                          +  PV Tax shields</t>
  </si>
  <si>
    <t>- Initial investment</t>
  </si>
  <si>
    <t>Net Present value</t>
  </si>
  <si>
    <t>FCFE model</t>
  </si>
  <si>
    <t>Free cash flows to equity, discounted at levered cost of equity</t>
  </si>
  <si>
    <t>Value of equity</t>
  </si>
  <si>
    <t>Value of debt</t>
  </si>
  <si>
    <t>Total value of firm</t>
  </si>
  <si>
    <t>FCFF model</t>
  </si>
  <si>
    <t>CF from assets (firm), discounted at WACC</t>
  </si>
  <si>
    <t>After tax salvage value</t>
  </si>
  <si>
    <t>balance sheet value at t = 5</t>
  </si>
  <si>
    <t>Gross PPE</t>
  </si>
  <si>
    <t>Accumulated depreciation</t>
  </si>
  <si>
    <t>Net PPE</t>
  </si>
  <si>
    <t>Gain/Loss</t>
  </si>
  <si>
    <t>Sales price</t>
  </si>
  <si>
    <t>Less net book value</t>
  </si>
  <si>
    <t>Tax on gain/loss</t>
  </si>
  <si>
    <t>After tax value</t>
  </si>
  <si>
    <t>Group:</t>
  </si>
  <si>
    <t>jgarner47</t>
  </si>
  <si>
    <t>COB-GARJ-DW1057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</si>
</sst>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8" formatCode="&quot;$&quot;#,##0.00_);[Red]\(&quot;$&quot;#,##0.00\)"/>
    <numFmt numFmtId="41" formatCode="_(* #,##0_);_(* \(#,##0\);_(* &quot;-&quot;_);_(@_)"/>
    <numFmt numFmtId="44" formatCode="_(&quot;$&quot;* #,##0.00_);_(&quot;$&quot;* \(#,##0.00\);_(&quot;$&quot;* &quot;-&quot;??_);_(@_)"/>
    <numFmt numFmtId="43" formatCode="_(* #,##0.00_);_(* \(#,##0.00\);_(* &quot;-&quot;??_);_(@_)"/>
    <numFmt numFmtId="164" formatCode="_(&quot;$&quot;* #,##0_);_(&quot;$&quot;* \(#,##0\);_(&quot;$&quot;* &quot;-&quot;??_);_(@_)"/>
    <numFmt numFmtId="165" formatCode="0.000"/>
    <numFmt numFmtId="166" formatCode="0.0000%"/>
    <numFmt numFmtId="167" formatCode="0.0000"/>
    <numFmt numFmtId="168" formatCode="_(* #,##0.000_);_(* \(#,##0.000\);_(* &quot;-&quot;??_);_(@_)"/>
    <numFmt numFmtId="169" formatCode="_(* #,##0_);_(* \(#,##0\);_(* &quot;-&quot;??_);_(@_)"/>
    <numFmt numFmtId="170" formatCode="_(* #,##0.0_);_(* \(#,##0.0\);_(* &quot;-&quot;??_);_(@_)"/>
    <numFmt numFmtId="171" formatCode="0.0%"/>
    <numFmt numFmtId="172" formatCode="0.000%"/>
  </numFmts>
  <fonts count="21">
    <font>
      <sz val="11"/>
      <color theme="1"/>
      <name val="Calibri"/>
      <family val="2"/>
      <scheme val="minor"/>
    </font>
    <font>
      <sz val="12"/>
      <color rgb="FF222222"/>
      <name val="Arial"/>
      <family val="2"/>
    </font>
    <font>
      <sz val="11"/>
      <color theme="1"/>
      <name val="Calibri"/>
      <family val="2"/>
      <scheme val="minor"/>
    </font>
    <font>
      <b/>
      <sz val="11"/>
      <color theme="1"/>
      <name val="Calibri"/>
      <family val="2"/>
      <scheme val="minor"/>
    </font>
    <font>
      <sz val="11"/>
      <color theme="4"/>
      <name val="Calibri"/>
      <family val="2"/>
      <scheme val="minor"/>
    </font>
    <font>
      <sz val="11"/>
      <color rgb="FF0070C0"/>
      <name val="Calibri"/>
      <family val="2"/>
      <scheme val="minor"/>
    </font>
    <font>
      <sz val="11"/>
      <name val="Calibri"/>
      <family val="2"/>
      <scheme val="minor"/>
    </font>
    <font>
      <vertAlign val="subscript"/>
      <sz val="11"/>
      <color theme="1"/>
      <name val="Calibri"/>
      <family val="2"/>
      <scheme val="minor"/>
    </font>
    <font>
      <b/>
      <sz val="11"/>
      <color rgb="FF92D050"/>
      <name val="Calibri"/>
      <family val="2"/>
      <scheme val="minor"/>
    </font>
    <font>
      <u/>
      <sz val="11"/>
      <name val="Calibri"/>
      <family val="2"/>
      <scheme val="minor"/>
    </font>
    <font>
      <u/>
      <sz val="11"/>
      <color theme="1"/>
      <name val="Calibri"/>
      <family val="2"/>
      <scheme val="minor"/>
    </font>
    <font>
      <sz val="11"/>
      <color theme="4" tint="-0.249977111117893"/>
      <name val="Calibri"/>
      <family val="2"/>
      <scheme val="minor"/>
    </font>
    <font>
      <sz val="9"/>
      <name val="Geneva"/>
    </font>
    <font>
      <b/>
      <sz val="11"/>
      <color rgb="FF0070C0"/>
      <name val="Calibri"/>
      <family val="2"/>
      <scheme val="minor"/>
    </font>
    <font>
      <b/>
      <sz val="9"/>
      <name val="Geneva"/>
    </font>
    <font>
      <sz val="10"/>
      <color theme="1"/>
      <name val="Arial"/>
      <family val="2"/>
    </font>
    <font>
      <b/>
      <u/>
      <sz val="10"/>
      <color theme="1"/>
      <name val="Arial"/>
      <family val="2"/>
    </font>
    <font>
      <b/>
      <sz val="10"/>
      <color theme="1"/>
      <name val="Arial"/>
      <family val="2"/>
    </font>
    <font>
      <u val="singleAccounting"/>
      <sz val="10"/>
      <color theme="1"/>
      <name val="Arial"/>
      <family val="2"/>
    </font>
    <font>
      <u/>
      <sz val="10"/>
      <color theme="1"/>
      <name val="Arial"/>
      <family val="2"/>
    </font>
    <font>
      <sz val="10"/>
      <name val="Arial"/>
      <family val="2"/>
    </font>
  </fonts>
  <fills count="4">
    <fill>
      <patternFill patternType="none"/>
    </fill>
    <fill>
      <patternFill patternType="gray125"/>
    </fill>
    <fill>
      <patternFill patternType="solid">
        <fgColor theme="2"/>
        <bgColor indexed="64"/>
      </patternFill>
    </fill>
    <fill>
      <patternFill patternType="solid">
        <fgColor theme="0"/>
        <bgColor indexed="64"/>
      </patternFill>
    </fill>
  </fills>
  <borders count="14">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style="thin">
        <color auto="1"/>
      </left>
      <right/>
      <top style="thin">
        <color auto="1"/>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s>
  <cellStyleXfs count="4">
    <xf numFmtId="0" fontId="0" fillId="0" borderId="0"/>
    <xf numFmtId="43"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cellStyleXfs>
  <cellXfs count="177">
    <xf numFmtId="0" fontId="0" fillId="0" borderId="0" xfId="0"/>
    <xf numFmtId="14" fontId="0" fillId="0" borderId="0" xfId="0" applyNumberFormat="1"/>
    <xf numFmtId="19" fontId="0" fillId="0" borderId="0" xfId="0" applyNumberFormat="1"/>
    <xf numFmtId="9" fontId="0" fillId="0" borderId="0" xfId="0" applyNumberFormat="1"/>
    <xf numFmtId="0" fontId="1" fillId="0" borderId="0" xfId="0" applyFont="1" applyAlignment="1">
      <alignment vertical="top" wrapText="1"/>
    </xf>
    <xf numFmtId="0" fontId="0" fillId="0" borderId="1" xfId="0" applyBorder="1"/>
    <xf numFmtId="0" fontId="0" fillId="0" borderId="2" xfId="0" applyBorder="1"/>
    <xf numFmtId="9" fontId="0" fillId="0" borderId="2" xfId="3" applyFont="1" applyBorder="1"/>
    <xf numFmtId="44" fontId="0" fillId="0" borderId="4" xfId="2" applyFont="1" applyBorder="1"/>
    <xf numFmtId="44" fontId="0" fillId="0" borderId="0" xfId="2" applyFont="1" applyBorder="1"/>
    <xf numFmtId="9" fontId="0" fillId="0" borderId="0" xfId="3" applyFont="1" applyBorder="1"/>
    <xf numFmtId="44" fontId="0" fillId="0" borderId="6" xfId="2" applyFont="1" applyBorder="1"/>
    <xf numFmtId="9" fontId="3" fillId="0" borderId="0" xfId="3" applyFont="1" applyBorder="1"/>
    <xf numFmtId="9" fontId="0" fillId="0" borderId="4" xfId="3" applyFont="1" applyBorder="1"/>
    <xf numFmtId="164" fontId="0" fillId="0" borderId="0" xfId="2" applyNumberFormat="1" applyFont="1" applyBorder="1"/>
    <xf numFmtId="0" fontId="0" fillId="0" borderId="5" xfId="0" applyBorder="1"/>
    <xf numFmtId="0" fontId="0" fillId="0" borderId="8" xfId="0" applyBorder="1"/>
    <xf numFmtId="0" fontId="0" fillId="0" borderId="9" xfId="0" applyBorder="1"/>
    <xf numFmtId="10" fontId="0" fillId="0" borderId="0" xfId="3" applyNumberFormat="1" applyFont="1"/>
    <xf numFmtId="165" fontId="0" fillId="0" borderId="1" xfId="0" applyNumberFormat="1" applyBorder="1"/>
    <xf numFmtId="0" fontId="0" fillId="0" borderId="2" xfId="0" applyBorder="1" applyAlignment="1">
      <alignment vertical="center" wrapText="1"/>
    </xf>
    <xf numFmtId="0" fontId="3" fillId="0" borderId="3" xfId="0" applyFont="1" applyBorder="1" applyAlignment="1">
      <alignment horizontal="center" vertical="center" wrapText="1"/>
    </xf>
    <xf numFmtId="165" fontId="0" fillId="0" borderId="4" xfId="0" applyNumberFormat="1" applyBorder="1"/>
    <xf numFmtId="0" fontId="0" fillId="0" borderId="0" xfId="0" applyBorder="1" applyAlignment="1">
      <alignment vertical="center" wrapText="1"/>
    </xf>
    <xf numFmtId="0" fontId="0" fillId="0" borderId="0" xfId="0" applyBorder="1"/>
    <xf numFmtId="0" fontId="3" fillId="0" borderId="5" xfId="0" applyFont="1" applyBorder="1" applyAlignment="1">
      <alignment horizontal="center" vertical="center" wrapText="1"/>
    </xf>
    <xf numFmtId="165" fontId="0" fillId="0" borderId="0" xfId="0" applyNumberFormat="1" applyBorder="1"/>
    <xf numFmtId="0" fontId="0" fillId="0" borderId="4" xfId="0" applyBorder="1"/>
    <xf numFmtId="0" fontId="0" fillId="0" borderId="7" xfId="0" applyBorder="1"/>
    <xf numFmtId="43" fontId="0" fillId="0" borderId="8" xfId="1" applyFont="1" applyBorder="1"/>
    <xf numFmtId="0" fontId="0" fillId="0" borderId="9" xfId="0" applyFill="1" applyBorder="1"/>
    <xf numFmtId="43" fontId="0" fillId="0" borderId="0" xfId="1" applyFont="1"/>
    <xf numFmtId="43" fontId="0" fillId="0" borderId="0" xfId="0" applyNumberFormat="1"/>
    <xf numFmtId="43" fontId="4" fillId="0" borderId="1" xfId="1" applyFont="1" applyBorder="1"/>
    <xf numFmtId="0" fontId="0" fillId="0" borderId="3" xfId="0" applyBorder="1"/>
    <xf numFmtId="43" fontId="0" fillId="0" borderId="0" xfId="1" applyFont="1" applyAlignment="1">
      <alignment horizontal="center"/>
    </xf>
    <xf numFmtId="43" fontId="4" fillId="0" borderId="4" xfId="1" applyFont="1" applyBorder="1"/>
    <xf numFmtId="43" fontId="5" fillId="0" borderId="4" xfId="1" applyFont="1" applyBorder="1"/>
    <xf numFmtId="166" fontId="0" fillId="0" borderId="4" xfId="0" applyNumberFormat="1" applyBorder="1"/>
    <xf numFmtId="43" fontId="6" fillId="0" borderId="1" xfId="1" applyFont="1" applyBorder="1"/>
    <xf numFmtId="167" fontId="6" fillId="0" borderId="3" xfId="1" applyNumberFormat="1" applyFont="1" applyBorder="1"/>
    <xf numFmtId="168" fontId="6" fillId="0" borderId="3" xfId="1" applyNumberFormat="1" applyFont="1" applyBorder="1"/>
    <xf numFmtId="169" fontId="6" fillId="0" borderId="1" xfId="1" applyNumberFormat="1" applyFont="1" applyBorder="1"/>
    <xf numFmtId="43" fontId="6" fillId="0" borderId="3" xfId="1" applyFont="1" applyBorder="1"/>
    <xf numFmtId="170" fontId="0" fillId="0" borderId="1" xfId="1" applyNumberFormat="1" applyFont="1" applyBorder="1"/>
    <xf numFmtId="43" fontId="0" fillId="0" borderId="3" xfId="1" applyFont="1" applyBorder="1"/>
    <xf numFmtId="9" fontId="0" fillId="0" borderId="3" xfId="3" applyFont="1" applyBorder="1"/>
    <xf numFmtId="43" fontId="6" fillId="0" borderId="4" xfId="1" applyFont="1" applyBorder="1"/>
    <xf numFmtId="167" fontId="6" fillId="0" borderId="5" xfId="1" applyNumberFormat="1" applyFont="1" applyBorder="1"/>
    <xf numFmtId="168" fontId="6" fillId="0" borderId="5" xfId="1" applyNumberFormat="1" applyFont="1" applyBorder="1"/>
    <xf numFmtId="169" fontId="6" fillId="0" borderId="4" xfId="1" applyNumberFormat="1" applyFont="1" applyBorder="1"/>
    <xf numFmtId="43" fontId="6" fillId="0" borderId="5" xfId="1" applyFont="1" applyBorder="1"/>
    <xf numFmtId="169" fontId="0" fillId="0" borderId="4" xfId="1" applyNumberFormat="1" applyFont="1" applyBorder="1"/>
    <xf numFmtId="43" fontId="0" fillId="0" borderId="5" xfId="1" applyFont="1" applyBorder="1"/>
    <xf numFmtId="9" fontId="0" fillId="0" borderId="5" xfId="3" applyFont="1" applyFill="1" applyBorder="1"/>
    <xf numFmtId="0" fontId="0" fillId="0" borderId="0" xfId="0" applyFill="1"/>
    <xf numFmtId="166" fontId="5" fillId="0" borderId="6" xfId="3" applyNumberFormat="1" applyFont="1" applyFill="1" applyBorder="1"/>
    <xf numFmtId="0" fontId="0" fillId="0" borderId="0" xfId="0" applyFill="1" applyBorder="1"/>
    <xf numFmtId="0" fontId="0" fillId="0" borderId="5" xfId="0" applyFill="1" applyBorder="1"/>
    <xf numFmtId="9" fontId="0" fillId="0" borderId="5" xfId="3" applyFont="1" applyBorder="1"/>
    <xf numFmtId="10" fontId="0" fillId="0" borderId="4" xfId="3" applyNumberFormat="1" applyFont="1" applyFill="1" applyBorder="1"/>
    <xf numFmtId="166" fontId="0" fillId="0" borderId="4" xfId="0" applyNumberFormat="1" applyFill="1" applyBorder="1"/>
    <xf numFmtId="43" fontId="6" fillId="2" borderId="4" xfId="1" applyFont="1" applyFill="1" applyBorder="1"/>
    <xf numFmtId="167" fontId="6" fillId="2" borderId="5" xfId="1" applyNumberFormat="1" applyFont="1" applyFill="1" applyBorder="1"/>
    <xf numFmtId="168" fontId="6" fillId="2" borderId="5" xfId="1" applyNumberFormat="1" applyFont="1" applyFill="1" applyBorder="1"/>
    <xf numFmtId="169" fontId="6" fillId="2" borderId="4" xfId="1" applyNumberFormat="1" applyFont="1" applyFill="1" applyBorder="1"/>
    <xf numFmtId="43" fontId="6" fillId="2" borderId="5" xfId="1" applyFont="1" applyFill="1" applyBorder="1"/>
    <xf numFmtId="169" fontId="0" fillId="2" borderId="4" xfId="1" applyNumberFormat="1" applyFont="1" applyFill="1" applyBorder="1"/>
    <xf numFmtId="43" fontId="0" fillId="2" borderId="5" xfId="1" applyFont="1" applyFill="1" applyBorder="1"/>
    <xf numFmtId="9" fontId="0" fillId="2" borderId="5" xfId="3" applyFont="1" applyFill="1" applyBorder="1"/>
    <xf numFmtId="171" fontId="5" fillId="0" borderId="4" xfId="0" applyNumberFormat="1" applyFont="1" applyBorder="1"/>
    <xf numFmtId="171" fontId="0" fillId="0" borderId="4" xfId="0" applyNumberFormat="1" applyFont="1" applyBorder="1"/>
    <xf numFmtId="166" fontId="0" fillId="0" borderId="0" xfId="0" applyNumberFormat="1" applyBorder="1"/>
    <xf numFmtId="9" fontId="6" fillId="0" borderId="4" xfId="0" applyNumberFormat="1" applyFont="1" applyBorder="1"/>
    <xf numFmtId="171" fontId="0" fillId="0" borderId="0" xfId="3" applyNumberFormat="1" applyFont="1"/>
    <xf numFmtId="9" fontId="8" fillId="0" borderId="4" xfId="0" applyNumberFormat="1" applyFont="1" applyBorder="1"/>
    <xf numFmtId="0" fontId="9" fillId="0" borderId="7" xfId="0" applyFont="1" applyBorder="1" applyAlignment="1">
      <alignment horizontal="right"/>
    </xf>
    <xf numFmtId="0" fontId="9" fillId="0" borderId="9" xfId="0" applyFont="1" applyBorder="1" applyAlignment="1">
      <alignment horizontal="right" wrapText="1"/>
    </xf>
    <xf numFmtId="0" fontId="9" fillId="0" borderId="9" xfId="0" applyFont="1" applyBorder="1" applyAlignment="1">
      <alignment horizontal="right"/>
    </xf>
    <xf numFmtId="0" fontId="10" fillId="0" borderId="7" xfId="0" applyFont="1" applyBorder="1" applyAlignment="1">
      <alignment horizontal="right"/>
    </xf>
    <xf numFmtId="0" fontId="10" fillId="0" borderId="9" xfId="0" applyFont="1" applyBorder="1" applyAlignment="1">
      <alignment horizontal="right"/>
    </xf>
    <xf numFmtId="9" fontId="5" fillId="0" borderId="4" xfId="0" applyNumberFormat="1" applyFont="1" applyBorder="1"/>
    <xf numFmtId="172" fontId="5" fillId="0" borderId="4" xfId="0" applyNumberFormat="1" applyFont="1" applyFill="1" applyBorder="1"/>
    <xf numFmtId="9" fontId="5" fillId="0" borderId="4" xfId="3" applyFont="1" applyBorder="1"/>
    <xf numFmtId="172" fontId="5" fillId="0" borderId="6" xfId="0" applyNumberFormat="1" applyFont="1" applyFill="1" applyBorder="1"/>
    <xf numFmtId="9" fontId="11" fillId="0" borderId="4" xfId="3" applyFont="1" applyBorder="1"/>
    <xf numFmtId="0" fontId="12" fillId="0" borderId="5" xfId="0" applyFont="1" applyBorder="1"/>
    <xf numFmtId="43" fontId="11" fillId="0" borderId="4" xfId="1" applyFont="1" applyBorder="1"/>
    <xf numFmtId="0" fontId="13" fillId="0" borderId="7" xfId="0" applyFont="1" applyBorder="1"/>
    <xf numFmtId="0" fontId="14" fillId="0" borderId="9" xfId="0" applyFont="1" applyBorder="1"/>
    <xf numFmtId="0" fontId="14" fillId="0" borderId="10" xfId="0" applyFont="1" applyBorder="1"/>
    <xf numFmtId="0" fontId="15" fillId="0" borderId="0" xfId="0" applyFont="1"/>
    <xf numFmtId="0" fontId="15" fillId="0" borderId="0" xfId="0" applyFont="1" applyAlignment="1">
      <alignment wrapText="1"/>
    </xf>
    <xf numFmtId="0" fontId="16" fillId="0" borderId="9" xfId="0" applyFont="1" applyBorder="1" applyAlignment="1">
      <alignment horizontal="centerContinuous"/>
    </xf>
    <xf numFmtId="0" fontId="16" fillId="0" borderId="7" xfId="0" applyFont="1" applyBorder="1" applyAlignment="1">
      <alignment horizontal="centerContinuous"/>
    </xf>
    <xf numFmtId="0" fontId="15" fillId="0" borderId="5" xfId="0" applyFont="1" applyBorder="1"/>
    <xf numFmtId="164" fontId="15" fillId="0" borderId="4" xfId="2" applyNumberFormat="1" applyFont="1" applyFill="1" applyBorder="1"/>
    <xf numFmtId="164" fontId="15" fillId="0" borderId="0" xfId="0" applyNumberFormat="1" applyFont="1"/>
    <xf numFmtId="0" fontId="15" fillId="0" borderId="3" xfId="0" applyFont="1" applyBorder="1"/>
    <xf numFmtId="164" fontId="15" fillId="0" borderId="1" xfId="2" applyNumberFormat="1" applyFont="1" applyFill="1" applyBorder="1"/>
    <xf numFmtId="44" fontId="15" fillId="0" borderId="0" xfId="0" applyNumberFormat="1" applyFont="1"/>
    <xf numFmtId="0" fontId="17" fillId="0" borderId="0" xfId="0" applyFont="1"/>
    <xf numFmtId="43" fontId="15" fillId="0" borderId="0" xfId="1" applyFont="1"/>
    <xf numFmtId="169" fontId="15" fillId="0" borderId="0" xfId="0" applyNumberFormat="1" applyFont="1"/>
    <xf numFmtId="0" fontId="15" fillId="0" borderId="0" xfId="0" applyFont="1" applyBorder="1"/>
    <xf numFmtId="169" fontId="15" fillId="2" borderId="11" xfId="1" applyNumberFormat="1" applyFont="1" applyFill="1" applyBorder="1"/>
    <xf numFmtId="0" fontId="15" fillId="0" borderId="11" xfId="0" applyFont="1" applyFill="1" applyBorder="1"/>
    <xf numFmtId="0" fontId="15" fillId="2" borderId="11" xfId="0" applyFont="1" applyFill="1" applyBorder="1"/>
    <xf numFmtId="10" fontId="15" fillId="0" borderId="0" xfId="0" applyNumberFormat="1" applyFont="1"/>
    <xf numFmtId="0" fontId="15" fillId="0" borderId="12" xfId="0" applyFont="1" applyBorder="1"/>
    <xf numFmtId="43" fontId="15" fillId="0" borderId="11" xfId="1" applyFont="1" applyFill="1" applyBorder="1"/>
    <xf numFmtId="43" fontId="18" fillId="0" borderId="0" xfId="1" applyFont="1"/>
    <xf numFmtId="43" fontId="15" fillId="0" borderId="0" xfId="1" applyFont="1" applyFill="1"/>
    <xf numFmtId="169" fontId="15" fillId="0" borderId="0" xfId="1" applyNumberFormat="1" applyFont="1"/>
    <xf numFmtId="169" fontId="15" fillId="0" borderId="11" xfId="1" applyNumberFormat="1" applyFont="1" applyFill="1" applyBorder="1"/>
    <xf numFmtId="43" fontId="15" fillId="0" borderId="0" xfId="0" applyNumberFormat="1" applyFont="1"/>
    <xf numFmtId="2" fontId="15" fillId="0" borderId="0" xfId="0" applyNumberFormat="1" applyFont="1"/>
    <xf numFmtId="43" fontId="15" fillId="2" borderId="11" xfId="1" applyFont="1" applyFill="1" applyBorder="1"/>
    <xf numFmtId="169" fontId="18" fillId="0" borderId="0" xfId="1" applyNumberFormat="1" applyFont="1"/>
    <xf numFmtId="169" fontId="15" fillId="0" borderId="0" xfId="1" applyNumberFormat="1" applyFont="1" applyFill="1"/>
    <xf numFmtId="8" fontId="15" fillId="0" borderId="0" xfId="0" applyNumberFormat="1" applyFont="1"/>
    <xf numFmtId="170" fontId="15" fillId="0" borderId="0" xfId="0" applyNumberFormat="1" applyFont="1"/>
    <xf numFmtId="10" fontId="15" fillId="2" borderId="11" xfId="3" applyNumberFormat="1" applyFont="1" applyFill="1" applyBorder="1"/>
    <xf numFmtId="10" fontId="15" fillId="0" borderId="0" xfId="3" applyNumberFormat="1" applyFont="1" applyFill="1"/>
    <xf numFmtId="171" fontId="15" fillId="0" borderId="0" xfId="3" applyNumberFormat="1" applyFont="1"/>
    <xf numFmtId="10" fontId="15" fillId="2" borderId="13" xfId="3" applyNumberFormat="1" applyFont="1" applyFill="1" applyBorder="1"/>
    <xf numFmtId="172" fontId="15" fillId="0" borderId="0" xfId="0" applyNumberFormat="1" applyFont="1"/>
    <xf numFmtId="0" fontId="15" fillId="0" borderId="0" xfId="0" applyFont="1" applyAlignment="1">
      <alignment horizontal="left"/>
    </xf>
    <xf numFmtId="171" fontId="15" fillId="2" borderId="11" xfId="3" applyNumberFormat="1" applyFont="1" applyFill="1" applyBorder="1"/>
    <xf numFmtId="0" fontId="15" fillId="0" borderId="0" xfId="0" applyFont="1" applyAlignment="1">
      <alignment horizontal="left" wrapText="1"/>
    </xf>
    <xf numFmtId="10" fontId="15" fillId="0" borderId="0" xfId="3" applyNumberFormat="1" applyFont="1"/>
    <xf numFmtId="0" fontId="17" fillId="0" borderId="9" xfId="0" applyFont="1" applyBorder="1"/>
    <xf numFmtId="169" fontId="17" fillId="0" borderId="8" xfId="1" applyNumberFormat="1" applyFont="1" applyBorder="1"/>
    <xf numFmtId="169" fontId="15" fillId="0" borderId="7" xfId="1" applyNumberFormat="1" applyFont="1" applyBorder="1"/>
    <xf numFmtId="0" fontId="17" fillId="0" borderId="5" xfId="0" applyFont="1" applyBorder="1"/>
    <xf numFmtId="169" fontId="17" fillId="0" borderId="0" xfId="1" quotePrefix="1" applyNumberFormat="1" applyFont="1" applyBorder="1"/>
    <xf numFmtId="169" fontId="17" fillId="0" borderId="0" xfId="1" applyNumberFormat="1" applyFont="1" applyBorder="1"/>
    <xf numFmtId="169" fontId="15" fillId="0" borderId="4" xfId="1" applyNumberFormat="1" applyFont="1" applyBorder="1"/>
    <xf numFmtId="0" fontId="15" fillId="0" borderId="0" xfId="1" applyNumberFormat="1" applyFont="1" applyBorder="1"/>
    <xf numFmtId="169" fontId="15" fillId="0" borderId="0" xfId="1" applyNumberFormat="1" applyFont="1" applyBorder="1"/>
    <xf numFmtId="169" fontId="15" fillId="0" borderId="0" xfId="1" applyNumberFormat="1" applyFont="1" applyFill="1" applyBorder="1"/>
    <xf numFmtId="170" fontId="15" fillId="0" borderId="0" xfId="1" applyNumberFormat="1" applyFont="1"/>
    <xf numFmtId="170" fontId="15" fillId="0" borderId="0" xfId="1" applyNumberFormat="1" applyFont="1" applyBorder="1"/>
    <xf numFmtId="170" fontId="15" fillId="2" borderId="11" xfId="1" applyNumberFormat="1" applyFont="1" applyFill="1" applyBorder="1"/>
    <xf numFmtId="0" fontId="19" fillId="0" borderId="0" xfId="0" applyFont="1"/>
    <xf numFmtId="0" fontId="15" fillId="0" borderId="5" xfId="0" applyFont="1" applyBorder="1" applyAlignment="1">
      <alignment horizontal="center" wrapText="1"/>
    </xf>
    <xf numFmtId="0" fontId="15" fillId="0" borderId="5" xfId="0" quotePrefix="1" applyFont="1" applyBorder="1" applyAlignment="1">
      <alignment horizontal="center" wrapText="1"/>
    </xf>
    <xf numFmtId="169" fontId="18" fillId="2" borderId="11" xfId="1" applyNumberFormat="1" applyFont="1" applyFill="1" applyBorder="1"/>
    <xf numFmtId="0" fontId="15" fillId="0" borderId="0" xfId="0" applyFont="1" applyAlignment="1"/>
    <xf numFmtId="0" fontId="15" fillId="0" borderId="3" xfId="0" applyFont="1" applyBorder="1" applyAlignment="1">
      <alignment horizontal="center" wrapText="1"/>
    </xf>
    <xf numFmtId="169" fontId="15" fillId="0" borderId="2" xfId="1" applyNumberFormat="1" applyFont="1" applyBorder="1"/>
    <xf numFmtId="169" fontId="15" fillId="0" borderId="1" xfId="1" applyNumberFormat="1" applyFont="1" applyBorder="1"/>
    <xf numFmtId="0" fontId="15" fillId="0" borderId="0" xfId="0" applyFont="1" applyBorder="1" applyAlignment="1">
      <alignment horizontal="center" wrapText="1"/>
    </xf>
    <xf numFmtId="169" fontId="15" fillId="0" borderId="8" xfId="1" applyNumberFormat="1" applyFont="1" applyBorder="1"/>
    <xf numFmtId="0" fontId="17" fillId="0" borderId="5" xfId="0" applyFont="1" applyFill="1" applyBorder="1"/>
    <xf numFmtId="43" fontId="15" fillId="0" borderId="5" xfId="0" applyNumberFormat="1" applyFont="1" applyBorder="1"/>
    <xf numFmtId="41" fontId="15" fillId="0" borderId="8" xfId="0" applyNumberFormat="1" applyFont="1" applyBorder="1"/>
    <xf numFmtId="0" fontId="17" fillId="0" borderId="8" xfId="0" quotePrefix="1" applyFont="1" applyBorder="1"/>
    <xf numFmtId="0" fontId="15" fillId="0" borderId="8" xfId="0" applyFont="1" applyBorder="1"/>
    <xf numFmtId="0" fontId="15" fillId="0" borderId="7" xfId="0" applyFont="1" applyBorder="1"/>
    <xf numFmtId="41" fontId="15" fillId="0" borderId="0" xfId="0" applyNumberFormat="1" applyFont="1" applyBorder="1"/>
    <xf numFmtId="0" fontId="15" fillId="0" borderId="4" xfId="0" applyFont="1" applyBorder="1"/>
    <xf numFmtId="41" fontId="15" fillId="2" borderId="11" xfId="0" applyNumberFormat="1" applyFont="1" applyFill="1" applyBorder="1"/>
    <xf numFmtId="41" fontId="18" fillId="2" borderId="11" xfId="0" applyNumberFormat="1" applyFont="1" applyFill="1" applyBorder="1"/>
    <xf numFmtId="169" fontId="15" fillId="0" borderId="0" xfId="0" applyNumberFormat="1" applyFont="1" applyBorder="1"/>
    <xf numFmtId="169" fontId="15" fillId="2" borderId="11" xfId="0" applyNumberFormat="1" applyFont="1" applyFill="1" applyBorder="1"/>
    <xf numFmtId="43" fontId="15" fillId="2" borderId="11" xfId="0" applyNumberFormat="1" applyFont="1" applyFill="1" applyBorder="1"/>
    <xf numFmtId="169" fontId="18" fillId="2" borderId="11" xfId="0" applyNumberFormat="1" applyFont="1" applyFill="1" applyBorder="1"/>
    <xf numFmtId="0" fontId="15" fillId="0" borderId="2" xfId="0" applyFont="1" applyBorder="1"/>
    <xf numFmtId="0" fontId="15" fillId="0" borderId="1" xfId="0" applyFont="1" applyBorder="1"/>
    <xf numFmtId="169" fontId="20" fillId="3" borderId="11" xfId="1" applyNumberFormat="1" applyFont="1" applyFill="1" applyBorder="1"/>
    <xf numFmtId="169" fontId="15" fillId="3" borderId="11" xfId="1" quotePrefix="1" applyNumberFormat="1" applyFont="1" applyFill="1" applyBorder="1"/>
    <xf numFmtId="169" fontId="15" fillId="3" borderId="11" xfId="1" applyNumberFormat="1" applyFont="1" applyFill="1" applyBorder="1"/>
    <xf numFmtId="0" fontId="3" fillId="0" borderId="8" xfId="0" applyFont="1" applyBorder="1" applyAlignment="1">
      <alignment horizontal="center"/>
    </xf>
    <xf numFmtId="0" fontId="3" fillId="0" borderId="7" xfId="0" applyFont="1" applyBorder="1" applyAlignment="1">
      <alignment horizontal="center"/>
    </xf>
    <xf numFmtId="0" fontId="3" fillId="0" borderId="5" xfId="0" applyFont="1" applyBorder="1" applyAlignment="1">
      <alignment horizontal="center" textRotation="90" wrapText="1"/>
    </xf>
    <xf numFmtId="0" fontId="3" fillId="0" borderId="3" xfId="0" applyFont="1" applyBorder="1" applyAlignment="1">
      <alignment horizontal="center" textRotation="90" wrapText="1"/>
    </xf>
  </cellXfs>
  <cellStyles count="4">
    <cellStyle name="Comma" xfId="1" builtinId="3"/>
    <cellStyle name="Currency" xfId="2" builtinId="4"/>
    <cellStyle name="Normal" xfId="0" builtinId="0"/>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10"/>
  <sheetViews>
    <sheetView workbookViewId="0">
      <selection activeCell="L18" sqref="L18"/>
    </sheetView>
  </sheetViews>
  <sheetFormatPr defaultRowHeight="15"/>
  <cols>
    <col min="2" max="2" width="27.5703125" customWidth="1"/>
  </cols>
  <sheetData>
    <row r="1" spans="1:11">
      <c r="A1" t="s">
        <v>129</v>
      </c>
    </row>
    <row r="2" spans="1:11">
      <c r="A2" t="s">
        <v>5</v>
      </c>
    </row>
    <row r="9" spans="1:11">
      <c r="K9" s="3"/>
    </row>
    <row r="10" spans="1:11">
      <c r="K10" s="3"/>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ADEF30-82C0-4D39-8409-12B67749A4DF}">
  <sheetPr codeName="Sheet4"/>
  <dimension ref="A1:AG47"/>
  <sheetViews>
    <sheetView zoomScale="130" zoomScaleNormal="130" workbookViewId="0">
      <selection activeCell="B15" sqref="B15"/>
    </sheetView>
  </sheetViews>
  <sheetFormatPr defaultRowHeight="15"/>
  <cols>
    <col min="1" max="1" width="18.28515625" customWidth="1"/>
    <col min="2" max="2" width="28.42578125" customWidth="1"/>
    <col min="3" max="3" width="23.7109375" bestFit="1" customWidth="1"/>
    <col min="4" max="4" width="21.7109375" customWidth="1"/>
    <col min="5" max="5" width="20.85546875" bestFit="1" customWidth="1"/>
    <col min="6" max="6" width="17.5703125" customWidth="1"/>
    <col min="7" max="7" width="19.140625" customWidth="1"/>
    <col min="8" max="8" width="25.7109375" customWidth="1"/>
    <col min="9" max="9" width="15.5703125" customWidth="1"/>
    <col min="10" max="10" width="13.85546875" bestFit="1" customWidth="1"/>
    <col min="11" max="11" width="15.5703125" customWidth="1"/>
    <col min="12" max="12" width="16.7109375" customWidth="1"/>
    <col min="13" max="13" width="19.28515625" customWidth="1"/>
    <col min="14" max="14" width="15.85546875" customWidth="1"/>
    <col min="15" max="15" width="13.85546875" bestFit="1" customWidth="1"/>
    <col min="17" max="17" width="13.85546875" bestFit="1" customWidth="1"/>
  </cols>
  <sheetData>
    <row r="1" spans="1:33" ht="15.75" thickBot="1">
      <c r="A1" s="90" t="s">
        <v>56</v>
      </c>
    </row>
    <row r="2" spans="1:33">
      <c r="A2" s="89" t="s">
        <v>55</v>
      </c>
      <c r="B2" s="16"/>
      <c r="C2" s="88">
        <v>1</v>
      </c>
      <c r="D2" t="s">
        <v>54</v>
      </c>
    </row>
    <row r="3" spans="1:33">
      <c r="A3" s="86" t="s">
        <v>53</v>
      </c>
      <c r="B3" s="24"/>
      <c r="C3" s="87">
        <v>750000</v>
      </c>
      <c r="D3" t="s">
        <v>52</v>
      </c>
    </row>
    <row r="4" spans="1:33">
      <c r="A4" s="86" t="s">
        <v>51</v>
      </c>
      <c r="B4" s="24"/>
      <c r="C4" s="85">
        <v>0.7</v>
      </c>
      <c r="D4" t="s">
        <v>50</v>
      </c>
      <c r="E4" t="s">
        <v>10</v>
      </c>
    </row>
    <row r="5" spans="1:33" ht="15.75" thickBot="1">
      <c r="A5" s="15" t="s">
        <v>49</v>
      </c>
      <c r="B5" s="24"/>
      <c r="C5" s="82">
        <v>0.08</v>
      </c>
    </row>
    <row r="6" spans="1:33" ht="15.75" thickBot="1">
      <c r="A6" s="15" t="s">
        <v>48</v>
      </c>
      <c r="B6" s="24"/>
      <c r="C6" s="84">
        <v>0.05</v>
      </c>
    </row>
    <row r="7" spans="1:33">
      <c r="A7" s="15" t="s">
        <v>47</v>
      </c>
      <c r="B7" s="24"/>
      <c r="C7" s="81">
        <v>0.03</v>
      </c>
    </row>
    <row r="8" spans="1:33">
      <c r="A8" s="15" t="s">
        <v>46</v>
      </c>
      <c r="B8" s="24"/>
      <c r="C8" s="83">
        <v>0.47</v>
      </c>
      <c r="D8" t="s">
        <v>10</v>
      </c>
    </row>
    <row r="9" spans="1:33">
      <c r="A9" s="15" t="s">
        <v>45</v>
      </c>
      <c r="B9" s="24"/>
      <c r="C9" s="83">
        <v>0.03</v>
      </c>
    </row>
    <row r="10" spans="1:33">
      <c r="A10" s="15" t="s">
        <v>44</v>
      </c>
      <c r="B10" s="24"/>
      <c r="C10" s="70">
        <v>0.27</v>
      </c>
    </row>
    <row r="11" spans="1:33" ht="15.75" thickBot="1">
      <c r="A11" s="15"/>
      <c r="B11" s="24"/>
      <c r="C11" s="82"/>
    </row>
    <row r="12" spans="1:33" ht="30">
      <c r="A12" s="15" t="s">
        <v>43</v>
      </c>
      <c r="B12" s="24"/>
      <c r="C12" s="81">
        <v>0.4</v>
      </c>
      <c r="I12" s="80"/>
      <c r="J12" s="80" t="s">
        <v>42</v>
      </c>
      <c r="K12" s="79" t="s">
        <v>39</v>
      </c>
      <c r="L12" s="78" t="s">
        <v>41</v>
      </c>
      <c r="M12" s="76" t="s">
        <v>39</v>
      </c>
      <c r="N12" s="77" t="s">
        <v>40</v>
      </c>
      <c r="O12" s="76" t="s">
        <v>39</v>
      </c>
      <c r="P12" s="77" t="s">
        <v>19</v>
      </c>
      <c r="Q12" s="76" t="s">
        <v>39</v>
      </c>
    </row>
    <row r="13" spans="1:33">
      <c r="A13" s="15" t="s">
        <v>38</v>
      </c>
      <c r="B13" s="24"/>
      <c r="C13" s="75">
        <f>'Valuation FCFF and FCFE and APV'!C61</f>
        <v>0</v>
      </c>
      <c r="D13" s="74" t="s">
        <v>37</v>
      </c>
      <c r="I13" s="59"/>
      <c r="J13" s="53" t="s">
        <v>10</v>
      </c>
      <c r="K13" s="52"/>
      <c r="L13" s="51"/>
      <c r="M13" s="50"/>
      <c r="N13" s="51"/>
      <c r="O13" s="47"/>
      <c r="P13" s="51"/>
      <c r="Q13" s="47"/>
      <c r="R13" s="31"/>
      <c r="S13" s="31"/>
      <c r="T13" s="31"/>
      <c r="U13" s="31"/>
      <c r="V13" s="31"/>
      <c r="W13" s="31"/>
      <c r="X13" s="31"/>
      <c r="Y13" s="31"/>
      <c r="Z13" s="31"/>
      <c r="AA13" s="31"/>
      <c r="AB13" s="31"/>
      <c r="AC13" s="31"/>
      <c r="AD13" s="31"/>
      <c r="AE13" s="31"/>
      <c r="AF13" s="31"/>
      <c r="AG13" s="31"/>
    </row>
    <row r="14" spans="1:33">
      <c r="A14" s="15" t="s">
        <v>36</v>
      </c>
      <c r="B14" s="24"/>
      <c r="C14" s="73">
        <f>C13/(1-C13)</f>
        <v>0</v>
      </c>
      <c r="D14" t="str">
        <f ca="1">_xlfn.FORMULATEXT(C14)</f>
        <v>=C13/(1-C13)</v>
      </c>
      <c r="I14" s="59">
        <v>0.8</v>
      </c>
      <c r="J14" s="53">
        <v>600000</v>
      </c>
      <c r="K14" s="52"/>
      <c r="L14" s="51">
        <v>0.55999999999999994</v>
      </c>
      <c r="M14" s="50"/>
      <c r="N14" s="49">
        <v>8.0000000000000016E-2</v>
      </c>
      <c r="O14" s="47"/>
      <c r="P14" s="48">
        <v>4.0000000000000008E-2</v>
      </c>
      <c r="Q14" s="47"/>
      <c r="R14" s="31"/>
      <c r="S14" s="31"/>
      <c r="T14" s="31"/>
      <c r="U14" s="31"/>
      <c r="V14" s="31"/>
      <c r="W14" s="31"/>
      <c r="X14" s="31"/>
      <c r="Y14" s="31"/>
      <c r="Z14" s="31"/>
      <c r="AA14" s="31"/>
      <c r="AB14" s="31"/>
      <c r="AC14" s="31"/>
      <c r="AD14" s="31"/>
      <c r="AE14" s="31"/>
      <c r="AF14" s="31"/>
      <c r="AG14" s="31"/>
    </row>
    <row r="15" spans="1:33" ht="18">
      <c r="A15" s="15" t="s">
        <v>35</v>
      </c>
      <c r="B15" s="72" t="s">
        <v>34</v>
      </c>
      <c r="C15" s="71">
        <f>C21+(C21-C16)*C14</f>
        <v>0.1</v>
      </c>
      <c r="D15" t="str">
        <f ca="1">_xlfn.FORMULATEXT(C15)</f>
        <v>=C21+(C21-C16)*C14</v>
      </c>
      <c r="I15" s="59">
        <v>0.85</v>
      </c>
      <c r="J15" s="53">
        <v>637500</v>
      </c>
      <c r="K15" s="52"/>
      <c r="L15" s="51">
        <v>0.59499999999999997</v>
      </c>
      <c r="M15" s="50"/>
      <c r="N15" s="49">
        <v>8.5000000000000006E-2</v>
      </c>
      <c r="O15" s="47"/>
      <c r="P15" s="48">
        <v>4.2500000000000003E-2</v>
      </c>
      <c r="Q15" s="47"/>
      <c r="R15" s="31"/>
      <c r="S15" s="31"/>
      <c r="T15" s="31"/>
      <c r="U15" s="31"/>
      <c r="V15" s="31"/>
      <c r="W15" s="31"/>
      <c r="X15" s="31"/>
      <c r="Y15" s="31"/>
      <c r="Z15" s="31"/>
      <c r="AA15" s="31"/>
      <c r="AB15" s="31"/>
      <c r="AC15" s="31"/>
      <c r="AD15" s="31"/>
      <c r="AE15" s="31"/>
      <c r="AF15" s="31"/>
      <c r="AG15" s="31"/>
    </row>
    <row r="16" spans="1:33" ht="18">
      <c r="A16" s="15" t="s">
        <v>33</v>
      </c>
      <c r="B16" s="24" t="s">
        <v>32</v>
      </c>
      <c r="C16" s="70">
        <v>4.4999999999999998E-2</v>
      </c>
      <c r="D16" t="s">
        <v>10</v>
      </c>
      <c r="I16" s="59">
        <v>0.9</v>
      </c>
      <c r="J16" s="53">
        <v>675000</v>
      </c>
      <c r="K16" s="52"/>
      <c r="L16" s="51">
        <v>0.63</v>
      </c>
      <c r="M16" s="50"/>
      <c r="N16" s="49">
        <v>9.0000000000000011E-2</v>
      </c>
      <c r="O16" s="47"/>
      <c r="P16" s="48">
        <v>4.5000000000000005E-2</v>
      </c>
      <c r="Q16" s="47"/>
      <c r="R16" s="31"/>
      <c r="S16" s="31"/>
      <c r="T16" s="31"/>
      <c r="U16" s="31"/>
      <c r="V16" s="31"/>
      <c r="W16" s="31"/>
      <c r="X16" s="31"/>
      <c r="Y16" s="31"/>
      <c r="Z16" s="31"/>
      <c r="AA16" s="31"/>
      <c r="AB16" s="31"/>
      <c r="AC16" s="31"/>
      <c r="AD16" s="31"/>
      <c r="AE16" s="31"/>
      <c r="AF16" s="31"/>
      <c r="AG16" s="31"/>
    </row>
    <row r="17" spans="1:33">
      <c r="A17" s="15" t="s">
        <v>31</v>
      </c>
      <c r="B17" s="24"/>
      <c r="C17" s="36">
        <v>300000</v>
      </c>
      <c r="I17" s="59">
        <v>0.95</v>
      </c>
      <c r="J17" s="53">
        <v>712500</v>
      </c>
      <c r="K17" s="52"/>
      <c r="L17" s="51">
        <v>0.66499999999999992</v>
      </c>
      <c r="M17" s="50"/>
      <c r="N17" s="49">
        <v>9.5000000000000001E-2</v>
      </c>
      <c r="O17" s="47"/>
      <c r="P17" s="48">
        <v>4.7500000000000001E-2</v>
      </c>
      <c r="Q17" s="47"/>
      <c r="R17" s="31"/>
      <c r="S17" s="31"/>
      <c r="T17" s="31"/>
      <c r="U17" s="31"/>
      <c r="V17" s="31"/>
      <c r="W17" s="31"/>
      <c r="X17" s="31"/>
      <c r="Y17" s="31"/>
      <c r="Z17" s="31"/>
      <c r="AA17" s="31"/>
      <c r="AB17" s="31"/>
      <c r="AC17" s="31"/>
      <c r="AD17" s="31"/>
      <c r="AE17" s="31"/>
      <c r="AF17" s="31"/>
      <c r="AG17" s="31"/>
    </row>
    <row r="18" spans="1:33">
      <c r="A18" s="15" t="s">
        <v>30</v>
      </c>
      <c r="B18" s="24"/>
      <c r="C18" s="36">
        <v>30000</v>
      </c>
      <c r="I18" s="69">
        <v>1</v>
      </c>
      <c r="J18" s="68">
        <v>750000</v>
      </c>
      <c r="K18" s="67"/>
      <c r="L18" s="66">
        <v>0.7</v>
      </c>
      <c r="M18" s="65"/>
      <c r="N18" s="64">
        <v>0.1</v>
      </c>
      <c r="O18" s="62"/>
      <c r="P18" s="63">
        <v>0.05</v>
      </c>
      <c r="Q18" s="62"/>
      <c r="R18" s="31"/>
      <c r="S18" s="31"/>
      <c r="T18" s="31"/>
      <c r="U18" s="31"/>
      <c r="V18" s="31"/>
      <c r="W18" s="31"/>
      <c r="X18" s="31"/>
      <c r="Y18" s="31"/>
      <c r="Z18" s="31"/>
      <c r="AA18" s="31"/>
      <c r="AB18" s="31"/>
      <c r="AC18" s="31"/>
      <c r="AD18" s="31"/>
      <c r="AE18" s="31"/>
      <c r="AF18" s="31"/>
      <c r="AG18" s="31"/>
    </row>
    <row r="19" spans="1:33">
      <c r="A19" s="15" t="s">
        <v>29</v>
      </c>
      <c r="B19" s="24" t="s">
        <v>10</v>
      </c>
      <c r="C19" s="61">
        <f>C15*(1-C13)+C13*C16*(1-C12)</f>
        <v>0.1</v>
      </c>
      <c r="D19" t="str">
        <f ca="1">_xlfn.FORMULATEXT(C19)</f>
        <v>=C15*(1-C13)+C13*C16*(1-C12)</v>
      </c>
      <c r="F19" t="s">
        <v>28</v>
      </c>
      <c r="I19" s="59">
        <v>1.05</v>
      </c>
      <c r="J19" s="53">
        <v>787500</v>
      </c>
      <c r="K19" s="52"/>
      <c r="L19" s="51">
        <v>0.73499999999999999</v>
      </c>
      <c r="M19" s="50"/>
      <c r="N19" s="49">
        <v>0.10500000000000001</v>
      </c>
      <c r="O19" s="47"/>
      <c r="P19" s="48">
        <v>5.2500000000000005E-2</v>
      </c>
      <c r="Q19" s="47"/>
      <c r="R19" s="31"/>
      <c r="S19" s="31"/>
      <c r="T19" s="31"/>
      <c r="U19" s="31"/>
      <c r="V19" s="31"/>
      <c r="W19" s="31"/>
      <c r="X19" s="31"/>
      <c r="Y19" s="31"/>
      <c r="Z19" s="31"/>
      <c r="AA19" s="31"/>
      <c r="AB19" s="31"/>
      <c r="AC19" s="31"/>
      <c r="AD19" s="31"/>
      <c r="AE19" s="31"/>
      <c r="AF19" s="31"/>
      <c r="AG19" s="31"/>
    </row>
    <row r="20" spans="1:33" ht="15.75" thickBot="1">
      <c r="A20" s="58" t="s">
        <v>10</v>
      </c>
      <c r="B20" s="57"/>
      <c r="C20" s="60" t="s">
        <v>10</v>
      </c>
      <c r="D20" t="s">
        <v>10</v>
      </c>
      <c r="I20" s="59">
        <v>1.1000000000000001</v>
      </c>
      <c r="J20" s="53">
        <v>825000.00000000012</v>
      </c>
      <c r="K20" s="52"/>
      <c r="L20" s="51">
        <v>0.77</v>
      </c>
      <c r="M20" s="50"/>
      <c r="N20" s="49">
        <v>0.11000000000000001</v>
      </c>
      <c r="O20" s="47"/>
      <c r="P20" s="48">
        <v>5.5000000000000007E-2</v>
      </c>
      <c r="Q20" s="47"/>
      <c r="R20" s="31"/>
      <c r="S20" s="31"/>
      <c r="T20" s="31"/>
      <c r="U20" s="31"/>
      <c r="V20" s="31"/>
      <c r="W20" s="31"/>
      <c r="X20" s="31"/>
      <c r="Y20" s="31"/>
      <c r="Z20" s="31"/>
      <c r="AA20" s="31"/>
      <c r="AB20" s="31"/>
      <c r="AC20" s="31"/>
      <c r="AD20" s="31"/>
      <c r="AE20" s="31"/>
      <c r="AF20" s="31"/>
      <c r="AG20" s="31"/>
    </row>
    <row r="21" spans="1:33" ht="15.75" thickBot="1">
      <c r="A21" s="58" t="s">
        <v>9</v>
      </c>
      <c r="B21" s="57"/>
      <c r="C21" s="56">
        <v>0.1</v>
      </c>
      <c r="D21" t="s">
        <v>10</v>
      </c>
      <c r="E21" t="s">
        <v>27</v>
      </c>
      <c r="G21" s="55"/>
      <c r="H21" s="55"/>
      <c r="I21" s="54">
        <v>1.1499999999999999</v>
      </c>
      <c r="J21" s="53">
        <v>805000</v>
      </c>
      <c r="K21" s="52"/>
      <c r="L21" s="51">
        <v>0.80499999999999994</v>
      </c>
      <c r="M21" s="50"/>
      <c r="N21" s="49">
        <v>0.11499999999999999</v>
      </c>
      <c r="O21" s="47"/>
      <c r="P21" s="48">
        <v>5.7499999999999996E-2</v>
      </c>
      <c r="Q21" s="47"/>
      <c r="R21" s="31"/>
      <c r="S21" s="31"/>
      <c r="T21" s="31"/>
      <c r="U21" s="31"/>
      <c r="V21" s="31"/>
      <c r="W21" s="31"/>
      <c r="X21" s="31"/>
      <c r="Y21" s="31"/>
      <c r="Z21" s="31"/>
      <c r="AA21" s="31"/>
      <c r="AB21" s="31"/>
      <c r="AC21" s="31"/>
      <c r="AD21" s="31"/>
      <c r="AE21" s="31"/>
      <c r="AF21" s="31"/>
      <c r="AG21" s="31"/>
    </row>
    <row r="22" spans="1:33" ht="15.75" thickBot="1">
      <c r="A22" s="15" t="s">
        <v>26</v>
      </c>
      <c r="B22" s="24"/>
      <c r="C22" s="38">
        <f>C15*(1-C13)+C16*C13</f>
        <v>0.1</v>
      </c>
      <c r="D22" t="str">
        <f ca="1">_xlfn.FORMULATEXT(C22)</f>
        <v>=C15*(1-C13)+C16*C13</v>
      </c>
      <c r="E22" t="s">
        <v>25</v>
      </c>
      <c r="I22" s="46">
        <v>1.2</v>
      </c>
      <c r="J22" s="45">
        <v>900000</v>
      </c>
      <c r="K22" s="44"/>
      <c r="L22" s="43">
        <v>0.84</v>
      </c>
      <c r="M22" s="42"/>
      <c r="N22" s="41">
        <v>0.12</v>
      </c>
      <c r="O22" s="39"/>
      <c r="P22" s="40">
        <v>0.06</v>
      </c>
      <c r="Q22" s="39"/>
      <c r="R22" s="31"/>
      <c r="S22" s="31"/>
      <c r="T22" s="31"/>
      <c r="U22" s="31"/>
      <c r="V22" s="31"/>
      <c r="W22" s="31"/>
      <c r="X22" s="31"/>
      <c r="Y22" s="31"/>
      <c r="Z22" s="31"/>
      <c r="AA22" s="31"/>
      <c r="AB22" s="31"/>
      <c r="AC22" s="31"/>
      <c r="AD22" s="31"/>
      <c r="AE22" s="31"/>
      <c r="AF22" s="31"/>
      <c r="AG22" s="31"/>
    </row>
    <row r="23" spans="1:33">
      <c r="A23" s="15"/>
      <c r="B23" s="24"/>
      <c r="C23" s="38"/>
      <c r="J23" s="31"/>
      <c r="K23" s="31" t="s">
        <v>18</v>
      </c>
      <c r="L23" s="31" t="s">
        <v>17</v>
      </c>
      <c r="M23" s="31" t="s">
        <v>16</v>
      </c>
      <c r="N23" s="31" t="s">
        <v>19</v>
      </c>
      <c r="O23" s="31"/>
      <c r="P23" s="31"/>
      <c r="Q23" s="31"/>
      <c r="R23" s="31"/>
      <c r="S23" s="31"/>
      <c r="T23" s="31"/>
      <c r="U23" s="31"/>
      <c r="V23" s="31"/>
      <c r="W23" s="31"/>
      <c r="X23" s="31"/>
      <c r="Y23" s="31"/>
      <c r="Z23" s="31"/>
      <c r="AA23" s="31"/>
      <c r="AB23" s="31"/>
      <c r="AC23" s="31"/>
      <c r="AD23" s="31"/>
      <c r="AE23" s="31"/>
      <c r="AF23" s="31"/>
      <c r="AG23" s="31"/>
    </row>
    <row r="24" spans="1:33">
      <c r="A24" s="15" t="s">
        <v>24</v>
      </c>
      <c r="B24" s="24"/>
      <c r="C24" s="37">
        <v>100000</v>
      </c>
      <c r="J24" s="31"/>
      <c r="K24" s="31" t="s">
        <v>10</v>
      </c>
      <c r="L24" s="31" t="s">
        <v>10</v>
      </c>
      <c r="M24" s="31" t="s">
        <v>10</v>
      </c>
      <c r="N24" s="31" t="s">
        <v>10</v>
      </c>
      <c r="O24" s="31"/>
      <c r="P24" s="31"/>
      <c r="Q24" s="31"/>
      <c r="R24" s="31"/>
      <c r="S24" s="31"/>
      <c r="T24" s="31"/>
      <c r="U24" s="31"/>
      <c r="V24" s="31"/>
      <c r="W24" s="31"/>
      <c r="X24" s="31"/>
      <c r="Y24" s="31"/>
      <c r="Z24" s="31"/>
      <c r="AA24" s="31"/>
      <c r="AB24" s="31"/>
      <c r="AC24" s="31"/>
      <c r="AD24" s="31"/>
      <c r="AE24" s="31"/>
      <c r="AF24" s="31"/>
      <c r="AG24" s="31"/>
    </row>
    <row r="25" spans="1:33">
      <c r="A25" s="15" t="s">
        <v>23</v>
      </c>
      <c r="B25" s="24"/>
      <c r="C25" s="37">
        <v>700000</v>
      </c>
      <c r="D25" s="32" t="s">
        <v>10</v>
      </c>
      <c r="J25" s="31"/>
      <c r="K25" s="31" t="s">
        <v>10</v>
      </c>
      <c r="L25" s="31" t="s">
        <v>10</v>
      </c>
      <c r="M25" s="31" t="s">
        <v>10</v>
      </c>
      <c r="N25" s="31" t="s">
        <v>10</v>
      </c>
      <c r="O25" s="31"/>
      <c r="P25" s="31"/>
      <c r="Q25" s="31"/>
      <c r="R25" s="31"/>
      <c r="S25" s="31"/>
      <c r="T25" s="31"/>
      <c r="U25" s="31"/>
      <c r="V25" s="31"/>
      <c r="W25" s="31"/>
      <c r="X25" s="31"/>
      <c r="Y25" s="31"/>
      <c r="Z25" s="31"/>
      <c r="AA25" s="31"/>
      <c r="AB25" s="31"/>
      <c r="AC25" s="31"/>
      <c r="AD25" s="31"/>
      <c r="AE25" s="31"/>
      <c r="AF25" s="31"/>
      <c r="AG25" s="31"/>
    </row>
    <row r="26" spans="1:33">
      <c r="A26" s="15" t="s">
        <v>22</v>
      </c>
      <c r="B26" s="24"/>
      <c r="C26" s="37">
        <f>150000</f>
        <v>150000</v>
      </c>
      <c r="D26" s="32"/>
      <c r="J26" s="31" t="s">
        <v>21</v>
      </c>
      <c r="K26" s="31" t="s">
        <v>10</v>
      </c>
      <c r="L26" s="31" t="s">
        <v>10</v>
      </c>
      <c r="M26" s="31" t="s">
        <v>10</v>
      </c>
      <c r="N26" s="31" t="s">
        <v>10</v>
      </c>
      <c r="O26" s="31"/>
      <c r="P26" s="31"/>
      <c r="Q26" s="31"/>
      <c r="R26" s="31"/>
      <c r="S26" s="31"/>
      <c r="T26" s="31"/>
      <c r="U26" s="31"/>
      <c r="V26" s="31"/>
      <c r="W26" s="31"/>
      <c r="X26" s="31"/>
      <c r="Y26" s="31"/>
      <c r="Z26" s="31"/>
      <c r="AA26" s="31"/>
      <c r="AB26" s="31"/>
      <c r="AC26" s="31"/>
      <c r="AD26" s="31"/>
      <c r="AE26" s="31"/>
      <c r="AF26" s="31"/>
      <c r="AG26" s="31"/>
    </row>
    <row r="27" spans="1:33">
      <c r="A27" s="15" t="s">
        <v>20</v>
      </c>
      <c r="B27" s="24"/>
      <c r="C27" s="36">
        <v>5</v>
      </c>
      <c r="E27" s="32"/>
      <c r="J27" s="31"/>
      <c r="K27" s="35" t="s">
        <v>19</v>
      </c>
      <c r="L27" s="35" t="s">
        <v>18</v>
      </c>
      <c r="M27" s="35" t="s">
        <v>17</v>
      </c>
      <c r="N27" s="35" t="s">
        <v>16</v>
      </c>
      <c r="O27" s="31"/>
      <c r="P27" s="31"/>
      <c r="Q27" s="31"/>
      <c r="R27" s="31"/>
      <c r="S27" s="31"/>
      <c r="T27" s="31"/>
      <c r="U27" s="31"/>
      <c r="V27" s="31"/>
      <c r="W27" s="31"/>
      <c r="X27" s="31"/>
      <c r="Y27" s="31"/>
      <c r="Z27" s="31"/>
      <c r="AA27" s="31"/>
      <c r="AB27" s="31"/>
      <c r="AC27" s="31"/>
      <c r="AD27" s="31"/>
      <c r="AE27" s="31"/>
      <c r="AF27" s="31"/>
      <c r="AG27" s="31"/>
    </row>
    <row r="28" spans="1:33" ht="15.75" thickBot="1">
      <c r="A28" s="34" t="s">
        <v>15</v>
      </c>
      <c r="B28" s="6"/>
      <c r="C28" s="33">
        <v>5</v>
      </c>
      <c r="E28" s="32"/>
      <c r="J28" s="31"/>
      <c r="K28" s="31" t="s">
        <v>10</v>
      </c>
      <c r="L28" s="31" t="s">
        <v>10</v>
      </c>
      <c r="M28" s="31" t="s">
        <v>10</v>
      </c>
      <c r="N28" s="31" t="s">
        <v>10</v>
      </c>
      <c r="O28" s="31"/>
      <c r="P28" s="31"/>
      <c r="Q28" s="31"/>
      <c r="R28" s="31"/>
      <c r="S28" s="31"/>
      <c r="T28" s="31"/>
      <c r="U28" s="31"/>
      <c r="V28" s="31"/>
      <c r="W28" s="31"/>
      <c r="X28" s="31"/>
      <c r="Y28" s="31"/>
      <c r="Z28" s="31"/>
      <c r="AA28" s="31"/>
      <c r="AB28" s="31"/>
      <c r="AC28" s="31"/>
      <c r="AD28" s="31"/>
      <c r="AE28" s="31"/>
      <c r="AF28" s="31"/>
      <c r="AG28" s="31"/>
    </row>
    <row r="29" spans="1:33">
      <c r="C29" s="31"/>
      <c r="J29" s="31"/>
      <c r="K29" s="31" t="s">
        <v>10</v>
      </c>
      <c r="L29" s="31" t="s">
        <v>10</v>
      </c>
      <c r="M29" s="31" t="s">
        <v>10</v>
      </c>
      <c r="N29" s="31" t="s">
        <v>10</v>
      </c>
      <c r="O29" s="31"/>
      <c r="P29" s="31"/>
      <c r="Q29" s="31"/>
      <c r="R29" s="31"/>
      <c r="S29" s="31"/>
      <c r="T29" s="31"/>
      <c r="U29" s="31"/>
      <c r="V29" s="31"/>
      <c r="W29" s="31"/>
      <c r="X29" s="31"/>
      <c r="Y29" s="31"/>
      <c r="Z29" s="31"/>
      <c r="AA29" s="31"/>
      <c r="AB29" s="31"/>
      <c r="AC29" s="31"/>
      <c r="AD29" s="31"/>
      <c r="AE29" s="31"/>
      <c r="AF29" s="31"/>
      <c r="AG29" s="31"/>
    </row>
    <row r="30" spans="1:33" ht="15.75" thickBot="1">
      <c r="C30" s="31"/>
    </row>
    <row r="31" spans="1:33">
      <c r="A31" s="30" t="s">
        <v>14</v>
      </c>
      <c r="B31" s="16"/>
      <c r="C31" s="29"/>
      <c r="D31" s="16"/>
      <c r="E31" s="16"/>
      <c r="F31" s="16"/>
      <c r="G31" s="16"/>
      <c r="H31" s="16"/>
      <c r="I31" s="16"/>
      <c r="J31" s="16"/>
      <c r="K31" s="16"/>
      <c r="L31" s="16"/>
      <c r="M31" s="16"/>
      <c r="N31" s="16"/>
      <c r="O31" s="16"/>
      <c r="P31" s="16"/>
      <c r="Q31" s="16"/>
      <c r="R31" s="16"/>
      <c r="S31" s="16"/>
      <c r="T31" s="16"/>
      <c r="U31" s="16"/>
      <c r="V31" s="28"/>
    </row>
    <row r="32" spans="1:33">
      <c r="A32" s="25" t="s">
        <v>13</v>
      </c>
      <c r="B32" s="24"/>
      <c r="C32" s="23">
        <v>1</v>
      </c>
      <c r="D32" s="23">
        <v>2</v>
      </c>
      <c r="E32" s="23">
        <v>3</v>
      </c>
      <c r="F32" s="23">
        <v>4</v>
      </c>
      <c r="G32" s="23">
        <v>5</v>
      </c>
      <c r="H32" s="23">
        <v>6</v>
      </c>
      <c r="I32" s="23">
        <v>7</v>
      </c>
      <c r="J32" s="23">
        <v>8</v>
      </c>
      <c r="K32" s="23">
        <v>9</v>
      </c>
      <c r="L32" s="23">
        <v>10</v>
      </c>
      <c r="M32" s="23">
        <v>11</v>
      </c>
      <c r="N32" s="23">
        <v>12</v>
      </c>
      <c r="O32" s="23">
        <v>13</v>
      </c>
      <c r="P32" s="23">
        <v>16</v>
      </c>
      <c r="Q32" s="23">
        <v>17</v>
      </c>
      <c r="R32" s="23">
        <v>18</v>
      </c>
      <c r="S32" s="23">
        <v>19</v>
      </c>
      <c r="T32" s="23">
        <v>20</v>
      </c>
      <c r="U32" s="23">
        <v>21</v>
      </c>
      <c r="V32" s="27" t="s">
        <v>12</v>
      </c>
    </row>
    <row r="33" spans="1:22">
      <c r="A33" s="25">
        <v>3</v>
      </c>
      <c r="B33" s="26" t="s">
        <v>10</v>
      </c>
      <c r="C33" s="23">
        <f>33.33/100</f>
        <v>0.33329999999999999</v>
      </c>
      <c r="D33" s="23">
        <f>44.45/100</f>
        <v>0.44450000000000001</v>
      </c>
      <c r="E33" s="23">
        <f>0.1481</f>
        <v>0.14810000000000001</v>
      </c>
      <c r="F33" s="23">
        <f>7.41/100</f>
        <v>7.4099999999999999E-2</v>
      </c>
      <c r="G33" s="23"/>
      <c r="H33" s="23"/>
      <c r="I33" s="23"/>
      <c r="J33" s="23"/>
      <c r="K33" s="23"/>
      <c r="L33" s="23"/>
      <c r="M33" s="23"/>
      <c r="N33" s="23"/>
      <c r="O33" s="23"/>
      <c r="P33" s="23"/>
      <c r="Q33" s="23"/>
      <c r="R33" s="23"/>
      <c r="S33" s="23"/>
      <c r="T33" s="23"/>
      <c r="U33" s="23"/>
      <c r="V33" s="22">
        <f>SUM(C33:U33)</f>
        <v>1</v>
      </c>
    </row>
    <row r="34" spans="1:22">
      <c r="A34" s="25">
        <v>5</v>
      </c>
      <c r="B34" s="24"/>
      <c r="C34" s="23">
        <v>0.2</v>
      </c>
      <c r="D34" s="23">
        <v>0.32</v>
      </c>
      <c r="E34" s="23">
        <v>0.192</v>
      </c>
      <c r="F34" s="23">
        <v>0.1152</v>
      </c>
      <c r="G34" s="23">
        <v>0.1152</v>
      </c>
      <c r="H34" s="23">
        <v>5.7599999999999998E-2</v>
      </c>
      <c r="I34" s="23"/>
      <c r="J34" s="23"/>
      <c r="K34" s="23"/>
      <c r="L34" s="23"/>
      <c r="M34" s="23"/>
      <c r="N34" s="23"/>
      <c r="O34" s="23"/>
      <c r="P34" s="23"/>
      <c r="Q34" s="23"/>
      <c r="R34" s="23"/>
      <c r="S34" s="23"/>
      <c r="T34" s="23"/>
      <c r="U34" s="23"/>
      <c r="V34" s="22">
        <f>SUM(C34:U34)</f>
        <v>0.99999999999999989</v>
      </c>
    </row>
    <row r="35" spans="1:22">
      <c r="A35" s="25">
        <v>7</v>
      </c>
      <c r="B35" s="24"/>
      <c r="C35" s="23">
        <v>0.1429</v>
      </c>
      <c r="D35" s="23">
        <v>0.24490000000000001</v>
      </c>
      <c r="E35" s="23">
        <v>0.1749</v>
      </c>
      <c r="F35" s="23">
        <v>0.1249</v>
      </c>
      <c r="G35" s="23">
        <v>8.9300000000000004E-2</v>
      </c>
      <c r="H35" s="23">
        <v>8.9200000000000002E-2</v>
      </c>
      <c r="I35" s="23">
        <v>8.9300000000000004E-2</v>
      </c>
      <c r="J35" s="23">
        <v>4.4600000000000001E-2</v>
      </c>
      <c r="K35" s="23"/>
      <c r="L35" s="23"/>
      <c r="M35" s="23"/>
      <c r="N35" s="23"/>
      <c r="O35" s="23"/>
      <c r="P35" s="23"/>
      <c r="Q35" s="23"/>
      <c r="R35" s="23"/>
      <c r="S35" s="23"/>
      <c r="T35" s="23"/>
      <c r="U35" s="23"/>
      <c r="V35" s="22">
        <f>SUM(C35:U35)</f>
        <v>1.0000000000000002</v>
      </c>
    </row>
    <row r="36" spans="1:22" ht="15.75" thickBot="1">
      <c r="A36" s="21">
        <v>10</v>
      </c>
      <c r="B36" s="6"/>
      <c r="C36" s="20">
        <v>0.1</v>
      </c>
      <c r="D36" s="20">
        <v>0.18</v>
      </c>
      <c r="E36" s="20">
        <v>0.14399999999999999</v>
      </c>
      <c r="F36" s="20">
        <v>0.1152</v>
      </c>
      <c r="G36" s="20">
        <v>9.2200000000000004E-2</v>
      </c>
      <c r="H36" s="20">
        <v>7.3700000000000002E-2</v>
      </c>
      <c r="I36" s="20">
        <v>6.5500000000000003E-2</v>
      </c>
      <c r="J36" s="20">
        <v>6.5500000000000003E-2</v>
      </c>
      <c r="K36" s="20">
        <v>6.5600000000000006E-2</v>
      </c>
      <c r="L36" s="20">
        <v>6.5500000000000003E-2</v>
      </c>
      <c r="M36" s="20">
        <v>3.2800000000000003E-2</v>
      </c>
      <c r="N36" s="20"/>
      <c r="O36" s="20"/>
      <c r="P36" s="20"/>
      <c r="Q36" s="20"/>
      <c r="R36" s="20"/>
      <c r="S36" s="20"/>
      <c r="T36" s="20"/>
      <c r="U36" s="20"/>
      <c r="V36" s="19">
        <f>SUM(C36:U36)</f>
        <v>1</v>
      </c>
    </row>
    <row r="37" spans="1:22">
      <c r="D37" s="18"/>
    </row>
    <row r="39" spans="1:22" ht="15.75" thickBot="1"/>
    <row r="40" spans="1:22">
      <c r="A40" s="17"/>
      <c r="B40" s="16"/>
      <c r="C40" s="173" t="s">
        <v>11</v>
      </c>
      <c r="D40" s="173"/>
      <c r="E40" s="173"/>
      <c r="F40" s="173"/>
      <c r="G40" s="174"/>
    </row>
    <row r="41" spans="1:22">
      <c r="A41" s="15"/>
      <c r="B41" s="14" t="s">
        <v>10</v>
      </c>
      <c r="C41" s="10">
        <v>0.02</v>
      </c>
      <c r="D41" s="10">
        <v>0.03</v>
      </c>
      <c r="E41" s="10">
        <v>0.04</v>
      </c>
      <c r="F41" s="12">
        <v>0.05</v>
      </c>
      <c r="G41" s="13">
        <v>0.06</v>
      </c>
    </row>
    <row r="42" spans="1:22" ht="30" customHeight="1">
      <c r="A42" s="175" t="s">
        <v>9</v>
      </c>
      <c r="B42" s="10">
        <v>7.0000000000000007E-2</v>
      </c>
      <c r="C42" s="9"/>
      <c r="D42" s="9"/>
      <c r="E42" s="9"/>
      <c r="F42" s="9"/>
      <c r="G42" s="8"/>
      <c r="N42" t="s">
        <v>8</v>
      </c>
    </row>
    <row r="43" spans="1:22">
      <c r="A43" s="175"/>
      <c r="B43" s="10">
        <v>0.08</v>
      </c>
      <c r="C43" s="9"/>
      <c r="D43" s="9"/>
      <c r="E43" s="9"/>
      <c r="F43" s="9"/>
      <c r="G43" s="8"/>
    </row>
    <row r="44" spans="1:22" ht="15.75" thickBot="1">
      <c r="A44" s="175"/>
      <c r="B44" s="10">
        <v>0.09</v>
      </c>
      <c r="C44" s="9"/>
      <c r="D44" s="9"/>
      <c r="E44" s="9"/>
      <c r="F44" s="9"/>
      <c r="G44" s="8"/>
    </row>
    <row r="45" spans="1:22" ht="15.75" thickBot="1">
      <c r="A45" s="175"/>
      <c r="B45" s="12">
        <v>0.1</v>
      </c>
      <c r="C45" s="9"/>
      <c r="D45" s="9"/>
      <c r="E45" s="9"/>
      <c r="F45" s="11"/>
      <c r="G45" s="8"/>
    </row>
    <row r="46" spans="1:22">
      <c r="A46" s="175"/>
      <c r="B46" s="10">
        <v>0.11</v>
      </c>
      <c r="C46" s="9"/>
      <c r="D46" s="9"/>
      <c r="E46" s="9"/>
      <c r="F46" s="9"/>
      <c r="G46" s="8"/>
    </row>
    <row r="47" spans="1:22" ht="15.75" thickBot="1">
      <c r="A47" s="176"/>
      <c r="B47" s="7">
        <v>0.12</v>
      </c>
      <c r="C47" s="6"/>
      <c r="D47" s="6"/>
      <c r="E47" s="6"/>
      <c r="F47" s="6"/>
      <c r="G47" s="5"/>
    </row>
  </sheetData>
  <mergeCells count="2">
    <mergeCell ref="C40:G40"/>
    <mergeCell ref="A42:A47"/>
  </mergeCells>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22CB1-BFAE-4245-97D6-6EAA08FFAAB9}">
  <sheetPr codeName="Sheet5"/>
  <dimension ref="B1:Z121"/>
  <sheetViews>
    <sheetView showGridLines="0" zoomScaleNormal="100" zoomScaleSheetLayoutView="100" workbookViewId="0">
      <selection activeCell="C9" sqref="C9"/>
    </sheetView>
  </sheetViews>
  <sheetFormatPr defaultRowHeight="12.75"/>
  <cols>
    <col min="1" max="1" width="2.7109375" style="91" customWidth="1"/>
    <col min="2" max="2" width="33.140625" style="91" customWidth="1"/>
    <col min="3" max="3" width="13.140625" style="91" customWidth="1"/>
    <col min="4" max="4" width="14.42578125" style="91" customWidth="1"/>
    <col min="5" max="5" width="12.85546875" style="91" customWidth="1"/>
    <col min="6" max="6" width="13.140625" style="91" customWidth="1"/>
    <col min="7" max="7" width="13.28515625" style="91" customWidth="1"/>
    <col min="8" max="8" width="15.28515625" style="91" customWidth="1"/>
    <col min="9" max="10" width="13.7109375" style="91" customWidth="1"/>
    <col min="11" max="11" width="21.140625" style="91" customWidth="1"/>
    <col min="12" max="12" width="13.7109375" style="91" customWidth="1"/>
    <col min="13" max="13" width="16.140625" style="92" customWidth="1"/>
    <col min="14" max="17" width="13.7109375" style="92" customWidth="1"/>
    <col min="18" max="20" width="9.140625" style="91"/>
    <col min="21" max="21" width="22" style="91" customWidth="1"/>
    <col min="22" max="22" width="17" style="91" customWidth="1"/>
    <col min="23" max="24" width="14.85546875" style="91" customWidth="1"/>
    <col min="25" max="25" width="14.7109375" style="91" customWidth="1"/>
    <col min="26" max="26" width="14.5703125" style="91" customWidth="1"/>
    <col min="27" max="27" width="17.5703125" style="91" customWidth="1"/>
    <col min="28" max="28" width="12.140625" style="91" bestFit="1" customWidth="1"/>
    <col min="29" max="16384" width="9.140625" style="91"/>
  </cols>
  <sheetData>
    <row r="1" spans="2:22" ht="13.5" thickBot="1"/>
    <row r="2" spans="2:22">
      <c r="B2" s="93" t="s">
        <v>57</v>
      </c>
      <c r="C2" s="94"/>
    </row>
    <row r="3" spans="2:22">
      <c r="B3" s="95" t="s">
        <v>58</v>
      </c>
      <c r="C3" s="96">
        <f>C101</f>
        <v>0</v>
      </c>
      <c r="E3" s="91" t="s">
        <v>10</v>
      </c>
    </row>
    <row r="4" spans="2:22">
      <c r="B4" s="95" t="s">
        <v>59</v>
      </c>
      <c r="C4" s="96">
        <f>C92</f>
        <v>0</v>
      </c>
      <c r="D4" s="97" t="s">
        <v>10</v>
      </c>
      <c r="E4" s="91" t="s">
        <v>10</v>
      </c>
    </row>
    <row r="5" spans="2:22" ht="13.5" thickBot="1">
      <c r="B5" s="98" t="s">
        <v>60</v>
      </c>
      <c r="C5" s="99">
        <f>C81</f>
        <v>0</v>
      </c>
      <c r="D5" s="97" t="s">
        <v>10</v>
      </c>
    </row>
    <row r="6" spans="2:22">
      <c r="D6" s="100" t="s">
        <v>10</v>
      </c>
    </row>
    <row r="7" spans="2:22">
      <c r="B7" s="101" t="s">
        <v>10</v>
      </c>
      <c r="E7" s="91" t="s">
        <v>10</v>
      </c>
      <c r="K7" s="101"/>
    </row>
    <row r="8" spans="2:22">
      <c r="B8" s="101" t="s">
        <v>61</v>
      </c>
      <c r="C8" s="102" t="s">
        <v>10</v>
      </c>
      <c r="D8" s="102"/>
      <c r="E8" s="102"/>
      <c r="F8" s="102"/>
      <c r="G8" s="102"/>
      <c r="H8" s="102"/>
      <c r="I8" s="102"/>
      <c r="K8" s="101"/>
      <c r="V8" s="101"/>
    </row>
    <row r="9" spans="2:22">
      <c r="D9" s="103"/>
    </row>
    <row r="10" spans="2:22">
      <c r="B10" s="91" t="s">
        <v>13</v>
      </c>
      <c r="C10" s="91">
        <v>0</v>
      </c>
      <c r="D10" s="91">
        <v>1</v>
      </c>
      <c r="E10" s="91">
        <v>2</v>
      </c>
      <c r="F10" s="91">
        <v>3</v>
      </c>
      <c r="G10" s="91">
        <v>4</v>
      </c>
      <c r="H10" s="91">
        <v>5</v>
      </c>
      <c r="I10" s="91" t="s">
        <v>62</v>
      </c>
    </row>
    <row r="12" spans="2:22">
      <c r="B12" s="104" t="s">
        <v>53</v>
      </c>
      <c r="C12" s="105"/>
      <c r="D12" s="105"/>
      <c r="E12" s="105"/>
      <c r="F12" s="105"/>
      <c r="G12" s="105"/>
      <c r="H12" s="105"/>
      <c r="I12" s="105"/>
    </row>
    <row r="13" spans="2:22">
      <c r="B13" s="104" t="s">
        <v>63</v>
      </c>
      <c r="C13" s="106"/>
      <c r="D13" s="105"/>
      <c r="E13" s="105"/>
      <c r="F13" s="105"/>
      <c r="G13" s="105"/>
      <c r="H13" s="105"/>
      <c r="I13" s="105"/>
    </row>
    <row r="14" spans="2:22">
      <c r="B14" s="107" t="s">
        <v>10</v>
      </c>
      <c r="C14" s="106"/>
      <c r="D14" s="105"/>
      <c r="E14" s="105"/>
      <c r="F14" s="105"/>
      <c r="G14" s="105"/>
      <c r="H14" s="105"/>
      <c r="I14" s="171"/>
    </row>
    <row r="15" spans="2:22">
      <c r="B15" s="91" t="s">
        <v>64</v>
      </c>
      <c r="C15" s="106"/>
      <c r="D15" s="105"/>
      <c r="E15" s="105"/>
      <c r="F15" s="105"/>
      <c r="G15" s="105"/>
      <c r="H15" s="105"/>
      <c r="I15" s="105"/>
      <c r="J15" s="102"/>
      <c r="R15" s="108"/>
      <c r="S15" s="108"/>
    </row>
    <row r="16" spans="2:22" ht="15">
      <c r="B16" s="109" t="s">
        <v>65</v>
      </c>
      <c r="C16" s="110"/>
      <c r="D16" s="105"/>
      <c r="E16" s="105"/>
      <c r="F16" s="105"/>
      <c r="G16" s="105"/>
      <c r="H16" s="105"/>
      <c r="I16" s="105"/>
      <c r="J16" s="111"/>
    </row>
    <row r="17" spans="2:23">
      <c r="B17" s="91" t="s">
        <v>66</v>
      </c>
      <c r="C17" s="110"/>
      <c r="D17" s="105"/>
      <c r="E17" s="105"/>
      <c r="F17" s="105"/>
      <c r="G17" s="105"/>
      <c r="H17" s="105"/>
      <c r="I17" s="105"/>
      <c r="J17" s="102"/>
    </row>
    <row r="18" spans="2:23">
      <c r="B18" s="107" t="s">
        <v>10</v>
      </c>
      <c r="C18" s="110"/>
      <c r="D18" s="105"/>
      <c r="E18" s="105"/>
      <c r="F18" s="105"/>
      <c r="G18" s="105"/>
      <c r="H18" s="105"/>
      <c r="I18" s="172"/>
      <c r="J18" s="102"/>
    </row>
    <row r="19" spans="2:23">
      <c r="B19" s="91" t="s">
        <v>67</v>
      </c>
      <c r="C19" s="110"/>
      <c r="D19" s="105"/>
      <c r="E19" s="105"/>
      <c r="F19" s="105"/>
      <c r="G19" s="105"/>
      <c r="H19" s="105"/>
      <c r="I19" s="105"/>
      <c r="J19" s="102"/>
    </row>
    <row r="20" spans="2:23">
      <c r="C20" s="112"/>
      <c r="D20" s="113"/>
      <c r="E20" s="113"/>
      <c r="F20" s="113"/>
      <c r="G20" s="113"/>
      <c r="H20" s="113"/>
      <c r="I20" s="113"/>
      <c r="J20" s="102"/>
    </row>
    <row r="21" spans="2:23">
      <c r="B21" s="91" t="s">
        <v>68</v>
      </c>
      <c r="C21" s="110"/>
      <c r="D21" s="105"/>
      <c r="E21" s="105"/>
      <c r="F21" s="105"/>
      <c r="G21" s="105"/>
      <c r="H21" s="105"/>
      <c r="I21" s="105"/>
      <c r="J21" s="102"/>
    </row>
    <row r="22" spans="2:23" ht="15">
      <c r="B22" s="91" t="str">
        <f>IF('Val Input'!C2=1,"Less Net capital expenditures","Less Gross Capital Expenditures")</f>
        <v>Less Net capital expenditures</v>
      </c>
      <c r="C22" s="110"/>
      <c r="D22" s="105"/>
      <c r="E22" s="105"/>
      <c r="F22" s="105"/>
      <c r="G22" s="105"/>
      <c r="H22" s="105"/>
      <c r="I22" s="105"/>
      <c r="J22" s="111"/>
    </row>
    <row r="23" spans="2:23" ht="15">
      <c r="B23" s="107" t="s">
        <v>10</v>
      </c>
      <c r="C23" s="110"/>
      <c r="D23" s="114"/>
      <c r="E23" s="114"/>
      <c r="F23" s="114"/>
      <c r="G23" s="114"/>
      <c r="H23" s="105"/>
      <c r="I23" s="114"/>
      <c r="J23" s="111"/>
    </row>
    <row r="24" spans="2:23" ht="15">
      <c r="B24" s="91" t="s">
        <v>69</v>
      </c>
      <c r="C24" s="105"/>
      <c r="D24" s="105"/>
      <c r="E24" s="105"/>
      <c r="F24" s="105"/>
      <c r="G24" s="105"/>
      <c r="H24" s="105"/>
      <c r="I24" s="105"/>
      <c r="J24" s="111"/>
    </row>
    <row r="25" spans="2:23" ht="15">
      <c r="C25" s="102"/>
      <c r="D25" s="113"/>
      <c r="E25" s="113"/>
      <c r="F25" s="113"/>
      <c r="G25" s="113"/>
      <c r="H25" s="113"/>
      <c r="I25" s="113"/>
      <c r="J25" s="111"/>
    </row>
    <row r="26" spans="2:23">
      <c r="B26" s="91" t="s">
        <v>70</v>
      </c>
      <c r="C26" s="105"/>
      <c r="D26" s="105"/>
      <c r="E26" s="105"/>
      <c r="F26" s="105"/>
      <c r="G26" s="105"/>
      <c r="H26" s="105"/>
      <c r="I26" s="105"/>
      <c r="J26" s="102" t="s">
        <v>71</v>
      </c>
    </row>
    <row r="27" spans="2:23">
      <c r="C27" s="102"/>
      <c r="D27" s="113"/>
      <c r="E27" s="113"/>
      <c r="F27" s="113"/>
      <c r="G27" s="113"/>
      <c r="H27" s="113"/>
      <c r="I27" s="113"/>
      <c r="J27" s="102"/>
    </row>
    <row r="28" spans="2:23">
      <c r="C28" s="115"/>
      <c r="F28" s="115"/>
    </row>
    <row r="29" spans="2:23">
      <c r="B29" s="101" t="s">
        <v>72</v>
      </c>
      <c r="K29" s="101"/>
      <c r="M29" s="91"/>
      <c r="N29" s="91"/>
      <c r="O29" s="91"/>
      <c r="P29" s="91"/>
    </row>
    <row r="30" spans="2:23">
      <c r="B30" s="101" t="s">
        <v>73</v>
      </c>
      <c r="K30" s="101"/>
      <c r="M30" s="91"/>
      <c r="N30" s="91"/>
      <c r="O30" s="91"/>
      <c r="P30" s="91"/>
    </row>
    <row r="31" spans="2:23">
      <c r="B31" s="101" t="s">
        <v>74</v>
      </c>
      <c r="C31" s="101"/>
      <c r="D31" s="101"/>
      <c r="E31" s="101"/>
      <c r="F31" s="101"/>
      <c r="K31" s="101"/>
      <c r="L31" s="101"/>
      <c r="M31" s="101"/>
      <c r="N31" s="101"/>
      <c r="O31" s="101"/>
      <c r="P31" s="101"/>
      <c r="W31" s="115"/>
    </row>
    <row r="32" spans="2:23">
      <c r="D32" s="115"/>
      <c r="W32" s="116"/>
    </row>
    <row r="33" spans="2:23">
      <c r="B33" s="91" t="s">
        <v>13</v>
      </c>
      <c r="C33" s="91">
        <v>0</v>
      </c>
      <c r="D33" s="91">
        <v>1</v>
      </c>
      <c r="E33" s="91">
        <v>2</v>
      </c>
      <c r="F33" s="91">
        <v>3</v>
      </c>
      <c r="G33" s="91">
        <v>4</v>
      </c>
      <c r="H33" s="91">
        <v>5</v>
      </c>
      <c r="I33" s="91" t="s">
        <v>62</v>
      </c>
    </row>
    <row r="34" spans="2:23">
      <c r="B34" s="101"/>
    </row>
    <row r="35" spans="2:23">
      <c r="B35" s="91" t="s">
        <v>64</v>
      </c>
      <c r="C35" s="106"/>
      <c r="D35" s="105"/>
      <c r="E35" s="105"/>
      <c r="F35" s="105"/>
      <c r="G35" s="105"/>
      <c r="H35" s="105"/>
      <c r="I35" s="117"/>
      <c r="J35" s="102"/>
    </row>
    <row r="36" spans="2:23" ht="15">
      <c r="B36" s="109" t="s">
        <v>75</v>
      </c>
      <c r="C36" s="114"/>
      <c r="D36" s="105"/>
      <c r="E36" s="105"/>
      <c r="F36" s="105"/>
      <c r="G36" s="105"/>
      <c r="H36" s="105"/>
      <c r="I36" s="105"/>
      <c r="J36" s="118"/>
      <c r="V36" s="115"/>
      <c r="W36" s="115"/>
    </row>
    <row r="37" spans="2:23">
      <c r="B37" s="91" t="s">
        <v>76</v>
      </c>
      <c r="C37" s="114"/>
      <c r="D37" s="105"/>
      <c r="E37" s="105"/>
      <c r="F37" s="105"/>
      <c r="G37" s="105"/>
      <c r="H37" s="105"/>
      <c r="I37" s="117"/>
      <c r="J37" s="102"/>
    </row>
    <row r="38" spans="2:23" ht="15">
      <c r="B38" s="109" t="s">
        <v>65</v>
      </c>
      <c r="C38" s="114"/>
      <c r="D38" s="105"/>
      <c r="E38" s="105"/>
      <c r="F38" s="105"/>
      <c r="G38" s="105"/>
      <c r="H38" s="105"/>
      <c r="I38" s="117"/>
      <c r="J38" s="111"/>
    </row>
    <row r="39" spans="2:23">
      <c r="B39" s="91" t="s">
        <v>77</v>
      </c>
      <c r="C39" s="114"/>
      <c r="D39" s="105"/>
      <c r="E39" s="105"/>
      <c r="F39" s="105"/>
      <c r="G39" s="105"/>
      <c r="H39" s="105"/>
      <c r="I39" s="117"/>
      <c r="J39" s="102"/>
    </row>
    <row r="40" spans="2:23">
      <c r="B40" s="107" t="s">
        <v>10</v>
      </c>
      <c r="C40" s="114"/>
      <c r="D40" s="105"/>
      <c r="E40" s="105"/>
      <c r="F40" s="105"/>
      <c r="G40" s="105"/>
      <c r="H40" s="105"/>
      <c r="I40" s="117"/>
      <c r="J40" s="102"/>
    </row>
    <row r="41" spans="2:23">
      <c r="B41" s="91" t="s">
        <v>78</v>
      </c>
      <c r="C41" s="114"/>
      <c r="D41" s="105"/>
      <c r="E41" s="105"/>
      <c r="F41" s="105"/>
      <c r="G41" s="105"/>
      <c r="H41" s="105"/>
      <c r="I41" s="105"/>
      <c r="J41" s="102"/>
    </row>
    <row r="42" spans="2:23">
      <c r="C42" s="119"/>
      <c r="D42" s="113"/>
      <c r="E42" s="113"/>
      <c r="F42" s="113"/>
      <c r="G42" s="113"/>
      <c r="H42" s="113"/>
      <c r="I42" s="113"/>
      <c r="J42" s="102"/>
    </row>
    <row r="43" spans="2:23">
      <c r="B43" s="91" t="s">
        <v>79</v>
      </c>
      <c r="C43" s="114"/>
      <c r="D43" s="105"/>
      <c r="E43" s="105"/>
      <c r="F43" s="105"/>
      <c r="G43" s="105"/>
      <c r="H43" s="105"/>
      <c r="I43" s="117"/>
      <c r="J43" s="102"/>
    </row>
    <row r="44" spans="2:23">
      <c r="B44" s="91" t="str">
        <f>IF('Val Input'!C2=1,"Less Net capital expenditures","Less Gross Capital Expenditures")</f>
        <v>Less Net capital expenditures</v>
      </c>
      <c r="C44" s="114"/>
      <c r="D44" s="105"/>
      <c r="E44" s="105"/>
      <c r="F44" s="105"/>
      <c r="G44" s="105"/>
      <c r="H44" s="105"/>
      <c r="I44" s="105"/>
      <c r="J44" s="102"/>
    </row>
    <row r="45" spans="2:23">
      <c r="B45" s="107" t="s">
        <v>10</v>
      </c>
      <c r="C45" s="114"/>
      <c r="D45" s="105"/>
      <c r="E45" s="105"/>
      <c r="F45" s="105"/>
      <c r="G45" s="105"/>
      <c r="H45" s="105"/>
      <c r="I45" s="105"/>
      <c r="J45" s="102"/>
    </row>
    <row r="46" spans="2:23">
      <c r="B46" s="91" t="s">
        <v>80</v>
      </c>
      <c r="C46" s="105"/>
      <c r="D46" s="105"/>
      <c r="E46" s="105"/>
      <c r="F46" s="105"/>
      <c r="G46" s="105"/>
      <c r="H46" s="105"/>
      <c r="I46" s="105"/>
      <c r="J46" s="102"/>
    </row>
    <row r="47" spans="2:23">
      <c r="C47" s="113"/>
      <c r="D47" s="113"/>
      <c r="E47" s="113"/>
      <c r="F47" s="113"/>
      <c r="G47" s="113"/>
      <c r="H47" s="113"/>
      <c r="I47" s="113"/>
      <c r="J47" s="102"/>
    </row>
    <row r="48" spans="2:23">
      <c r="B48" s="91" t="s">
        <v>81</v>
      </c>
      <c r="C48" s="114"/>
      <c r="D48" s="105"/>
      <c r="E48" s="105"/>
      <c r="F48" s="105"/>
      <c r="G48" s="105"/>
      <c r="H48" s="105"/>
      <c r="I48" s="105"/>
      <c r="J48" s="102"/>
    </row>
    <row r="49" spans="2:26" ht="15">
      <c r="B49" s="91" t="s">
        <v>10</v>
      </c>
      <c r="C49" s="113"/>
      <c r="D49" s="113"/>
      <c r="E49" s="113"/>
      <c r="F49" s="113"/>
      <c r="G49" s="113"/>
      <c r="H49" s="110"/>
      <c r="I49" s="102"/>
      <c r="J49" s="111"/>
    </row>
    <row r="50" spans="2:26">
      <c r="B50" s="92" t="s">
        <v>82</v>
      </c>
      <c r="C50" s="105"/>
      <c r="D50" s="105"/>
      <c r="E50" s="105"/>
      <c r="F50" s="105"/>
      <c r="G50" s="105"/>
      <c r="H50" s="105"/>
      <c r="I50" s="105"/>
      <c r="J50" s="102"/>
      <c r="K50" s="92"/>
      <c r="L50" s="92"/>
      <c r="V50" s="120"/>
      <c r="W50" s="115"/>
      <c r="X50" s="115"/>
      <c r="Y50" s="115"/>
      <c r="Z50" s="115"/>
    </row>
    <row r="51" spans="2:26">
      <c r="B51" s="92"/>
      <c r="C51" s="113"/>
      <c r="D51" s="113"/>
      <c r="E51" s="113"/>
      <c r="F51" s="113"/>
      <c r="G51" s="113"/>
      <c r="H51" s="113"/>
      <c r="I51" s="102"/>
      <c r="J51" s="102"/>
      <c r="K51" s="92"/>
      <c r="L51" s="92"/>
      <c r="V51" s="120"/>
      <c r="W51" s="115"/>
      <c r="X51" s="115"/>
      <c r="Y51" s="115"/>
      <c r="Z51" s="115"/>
    </row>
    <row r="52" spans="2:26">
      <c r="E52" s="115"/>
      <c r="Y52" s="115"/>
      <c r="Z52" s="115"/>
    </row>
    <row r="53" spans="2:26">
      <c r="B53" s="101" t="s">
        <v>83</v>
      </c>
    </row>
    <row r="54" spans="2:26">
      <c r="B54" s="91" t="s">
        <v>13</v>
      </c>
    </row>
    <row r="56" spans="2:26">
      <c r="B56" s="92" t="s">
        <v>84</v>
      </c>
      <c r="C56" s="105"/>
      <c r="D56" s="105"/>
      <c r="E56" s="105"/>
      <c r="F56" s="105"/>
      <c r="G56" s="105"/>
      <c r="H56" s="105"/>
      <c r="I56" s="113"/>
    </row>
    <row r="57" spans="2:26">
      <c r="B57" s="92" t="s">
        <v>85</v>
      </c>
      <c r="C57" s="105"/>
      <c r="D57" s="105"/>
      <c r="E57" s="105"/>
      <c r="F57" s="105"/>
      <c r="G57" s="105"/>
      <c r="H57" s="105"/>
      <c r="I57" s="113"/>
      <c r="J57" s="102" t="s">
        <v>10</v>
      </c>
      <c r="K57" s="102"/>
    </row>
    <row r="58" spans="2:26">
      <c r="B58" s="92" t="s">
        <v>86</v>
      </c>
      <c r="C58" s="105"/>
      <c r="D58" s="105"/>
      <c r="E58" s="105"/>
      <c r="F58" s="105"/>
      <c r="G58" s="105"/>
      <c r="H58" s="105"/>
      <c r="I58" s="113"/>
      <c r="J58" s="121"/>
    </row>
    <row r="59" spans="2:26">
      <c r="C59" s="113"/>
      <c r="D59" s="113"/>
      <c r="E59" s="113"/>
      <c r="F59" s="113"/>
      <c r="G59" s="113"/>
      <c r="H59" s="113"/>
      <c r="I59" s="113"/>
      <c r="J59" s="121"/>
    </row>
    <row r="60" spans="2:26">
      <c r="C60" s="102"/>
      <c r="D60" s="102"/>
      <c r="E60" s="102"/>
      <c r="F60" s="102"/>
      <c r="G60" s="102"/>
      <c r="H60" s="102"/>
      <c r="I60" s="102"/>
    </row>
    <row r="61" spans="2:26">
      <c r="B61" s="91" t="s">
        <v>87</v>
      </c>
      <c r="C61" s="122"/>
      <c r="D61" s="122"/>
      <c r="E61" s="122"/>
      <c r="F61" s="122"/>
      <c r="G61" s="122"/>
      <c r="H61" s="122"/>
      <c r="I61" s="123"/>
      <c r="J61" s="124"/>
    </row>
    <row r="62" spans="2:26">
      <c r="B62" s="91" t="s">
        <v>88</v>
      </c>
      <c r="C62" s="122"/>
      <c r="D62" s="125"/>
      <c r="E62" s="125"/>
      <c r="F62" s="125"/>
      <c r="G62" s="125"/>
      <c r="H62" s="125"/>
      <c r="I62" s="123"/>
      <c r="J62" s="124"/>
    </row>
    <row r="63" spans="2:26">
      <c r="B63" s="91" t="s">
        <v>89</v>
      </c>
      <c r="C63" s="123"/>
      <c r="D63" s="122"/>
      <c r="E63" s="122"/>
      <c r="F63" s="122"/>
      <c r="G63" s="122"/>
      <c r="H63" s="122"/>
      <c r="I63" s="122"/>
      <c r="J63" s="124" t="s">
        <v>90</v>
      </c>
      <c r="K63" s="126"/>
    </row>
    <row r="64" spans="2:26">
      <c r="B64" s="91" t="s">
        <v>91</v>
      </c>
      <c r="C64" s="123"/>
      <c r="D64" s="122"/>
      <c r="E64" s="122"/>
      <c r="F64" s="122"/>
      <c r="G64" s="122"/>
      <c r="H64" s="122"/>
      <c r="I64" s="122"/>
      <c r="J64" s="124" t="s">
        <v>92</v>
      </c>
    </row>
    <row r="65" spans="2:13" ht="15" customHeight="1">
      <c r="B65" s="127" t="s">
        <v>93</v>
      </c>
      <c r="C65" s="123"/>
      <c r="D65" s="128"/>
      <c r="E65" s="128"/>
      <c r="F65" s="122"/>
      <c r="G65" s="122"/>
      <c r="H65" s="122"/>
      <c r="I65" s="122"/>
      <c r="J65" s="124" t="s">
        <v>25</v>
      </c>
    </row>
    <row r="66" spans="2:13" ht="15" customHeight="1">
      <c r="B66" s="129" t="s">
        <v>94</v>
      </c>
      <c r="C66" s="130"/>
      <c r="D66" s="122"/>
      <c r="E66" s="122"/>
      <c r="F66" s="122"/>
      <c r="G66" s="122"/>
      <c r="H66" s="122"/>
      <c r="I66" s="122"/>
      <c r="J66" s="124" t="s">
        <v>95</v>
      </c>
    </row>
    <row r="67" spans="2:13">
      <c r="C67" s="124"/>
      <c r="D67" s="124"/>
      <c r="E67" s="124"/>
      <c r="F67" s="124"/>
      <c r="G67" s="124"/>
      <c r="H67" s="124"/>
      <c r="I67" s="124"/>
      <c r="J67" s="124" t="s">
        <v>96</v>
      </c>
    </row>
    <row r="68" spans="2:13" ht="13.5" thickBot="1">
      <c r="J68" s="91" t="s">
        <v>97</v>
      </c>
    </row>
    <row r="69" spans="2:13">
      <c r="B69" s="131" t="s">
        <v>98</v>
      </c>
      <c r="C69" s="132"/>
      <c r="D69" s="132"/>
      <c r="E69" s="132"/>
      <c r="F69" s="132"/>
      <c r="G69" s="132"/>
      <c r="H69" s="132"/>
      <c r="I69" s="133"/>
      <c r="J69" s="91" t="s">
        <v>99</v>
      </c>
    </row>
    <row r="70" spans="2:13">
      <c r="B70" s="134" t="s">
        <v>100</v>
      </c>
      <c r="C70" s="135"/>
      <c r="D70" s="136"/>
      <c r="E70" s="136"/>
      <c r="F70" s="136"/>
      <c r="G70" s="136"/>
      <c r="H70" s="136"/>
      <c r="I70" s="137"/>
      <c r="J70" s="91" t="s">
        <v>101</v>
      </c>
    </row>
    <row r="71" spans="2:13">
      <c r="B71" s="134" t="s">
        <v>102</v>
      </c>
      <c r="C71" s="135"/>
      <c r="D71" s="136"/>
      <c r="E71" s="136"/>
      <c r="F71" s="136"/>
      <c r="G71" s="136"/>
      <c r="H71" s="136"/>
      <c r="I71" s="137"/>
      <c r="J71" s="91" t="s">
        <v>103</v>
      </c>
    </row>
    <row r="72" spans="2:13">
      <c r="B72" s="95" t="s">
        <v>13</v>
      </c>
      <c r="C72" s="138">
        <v>0</v>
      </c>
      <c r="D72" s="139">
        <v>1</v>
      </c>
      <c r="E72" s="139">
        <v>2</v>
      </c>
      <c r="F72" s="140">
        <v>3</v>
      </c>
      <c r="G72" s="140">
        <v>4</v>
      </c>
      <c r="H72" s="140">
        <v>5</v>
      </c>
      <c r="I72" s="137" t="s">
        <v>104</v>
      </c>
      <c r="J72" s="141"/>
    </row>
    <row r="73" spans="2:13">
      <c r="B73" s="95" t="s">
        <v>105</v>
      </c>
      <c r="C73" s="105"/>
      <c r="D73" s="105"/>
      <c r="E73" s="105"/>
      <c r="F73" s="105"/>
      <c r="G73" s="105"/>
      <c r="H73" s="105"/>
      <c r="I73" s="105"/>
      <c r="J73" s="142" t="s">
        <v>10</v>
      </c>
    </row>
    <row r="74" spans="2:13">
      <c r="B74" s="95" t="s">
        <v>106</v>
      </c>
      <c r="C74" s="143"/>
      <c r="D74" s="143"/>
      <c r="E74" s="143"/>
      <c r="F74" s="143"/>
      <c r="G74" s="143"/>
      <c r="H74" s="143"/>
      <c r="I74" s="137"/>
      <c r="J74" s="141"/>
    </row>
    <row r="75" spans="2:13">
      <c r="B75" s="95"/>
      <c r="C75" s="139"/>
      <c r="D75" s="139"/>
      <c r="E75" s="139"/>
      <c r="F75" s="139"/>
      <c r="G75" s="139"/>
      <c r="H75" s="139"/>
      <c r="I75" s="137"/>
      <c r="J75" s="141"/>
    </row>
    <row r="76" spans="2:13">
      <c r="B76" s="95" t="s">
        <v>107</v>
      </c>
      <c r="C76" s="170"/>
      <c r="D76" s="105"/>
      <c r="E76" s="105"/>
      <c r="F76" s="105"/>
      <c r="G76" s="105"/>
      <c r="H76" s="105"/>
      <c r="I76" s="105"/>
      <c r="J76" s="141"/>
    </row>
    <row r="77" spans="2:13">
      <c r="B77" s="95" t="s">
        <v>108</v>
      </c>
      <c r="C77" s="105"/>
      <c r="D77" s="105"/>
      <c r="E77" s="105"/>
      <c r="F77" s="105"/>
      <c r="G77" s="105"/>
      <c r="H77" s="105"/>
      <c r="I77" s="137"/>
      <c r="J77" s="141"/>
      <c r="K77" s="144"/>
      <c r="L77" s="144"/>
    </row>
    <row r="78" spans="2:13">
      <c r="B78" s="95"/>
      <c r="C78" s="139"/>
      <c r="D78" s="139"/>
      <c r="E78" s="139"/>
      <c r="F78" s="139"/>
      <c r="G78" s="139"/>
      <c r="H78" s="139"/>
      <c r="I78" s="137"/>
      <c r="J78" s="141"/>
    </row>
    <row r="79" spans="2:13" ht="45.75" customHeight="1">
      <c r="B79" s="145" t="s">
        <v>109</v>
      </c>
      <c r="C79" s="105"/>
      <c r="D79" s="139"/>
      <c r="E79" s="139"/>
      <c r="F79" s="139"/>
      <c r="G79" s="139"/>
      <c r="H79" s="139"/>
      <c r="I79" s="137"/>
      <c r="J79" s="141"/>
    </row>
    <row r="80" spans="2:13" ht="21" customHeight="1">
      <c r="B80" s="146" t="s">
        <v>110</v>
      </c>
      <c r="C80" s="147"/>
      <c r="D80" s="139"/>
      <c r="E80" s="139"/>
      <c r="F80" s="139"/>
      <c r="G80" s="139"/>
      <c r="H80" s="139"/>
      <c r="I80" s="137"/>
      <c r="J80" s="141"/>
      <c r="M80" s="148"/>
    </row>
    <row r="81" spans="2:10" ht="18" customHeight="1" thickBot="1">
      <c r="B81" s="149" t="s">
        <v>111</v>
      </c>
      <c r="C81" s="105"/>
      <c r="D81" s="150"/>
      <c r="E81" s="150"/>
      <c r="F81" s="150"/>
      <c r="G81" s="150"/>
      <c r="H81" s="150"/>
      <c r="I81" s="151"/>
      <c r="J81" s="141"/>
    </row>
    <row r="82" spans="2:10" ht="17.25" customHeight="1" thickBot="1">
      <c r="B82" s="152"/>
      <c r="C82" s="139"/>
      <c r="D82" s="139"/>
      <c r="E82" s="139"/>
      <c r="F82" s="139"/>
      <c r="G82" s="139"/>
      <c r="H82" s="139"/>
      <c r="I82" s="113"/>
      <c r="J82" s="148"/>
    </row>
    <row r="83" spans="2:10">
      <c r="B83" s="131" t="s">
        <v>112</v>
      </c>
      <c r="C83" s="132"/>
      <c r="D83" s="153"/>
      <c r="E83" s="153"/>
      <c r="F83" s="153"/>
      <c r="G83" s="153"/>
      <c r="H83" s="153"/>
      <c r="I83" s="133"/>
    </row>
    <row r="84" spans="2:10">
      <c r="B84" s="154" t="s">
        <v>113</v>
      </c>
      <c r="C84" s="136"/>
      <c r="D84" s="139"/>
      <c r="E84" s="139"/>
      <c r="F84" s="139"/>
      <c r="G84" s="139"/>
      <c r="H84" s="139"/>
      <c r="I84" s="137"/>
    </row>
    <row r="85" spans="2:10">
      <c r="B85" s="95" t="s">
        <v>10</v>
      </c>
      <c r="C85" s="138"/>
      <c r="D85" s="139"/>
      <c r="E85" s="139"/>
      <c r="F85" s="139"/>
      <c r="G85" s="139"/>
      <c r="H85" s="139"/>
      <c r="I85" s="137"/>
    </row>
    <row r="86" spans="2:10">
      <c r="B86" s="95" t="s">
        <v>13</v>
      </c>
      <c r="C86" s="138">
        <v>0</v>
      </c>
      <c r="D86" s="139">
        <v>1</v>
      </c>
      <c r="E86" s="139">
        <v>2</v>
      </c>
      <c r="F86" s="140">
        <v>3</v>
      </c>
      <c r="G86" s="140">
        <v>4</v>
      </c>
      <c r="H86" s="140">
        <v>5</v>
      </c>
      <c r="I86" s="137" t="s">
        <v>104</v>
      </c>
    </row>
    <row r="87" spans="2:10">
      <c r="B87" s="95" t="s">
        <v>73</v>
      </c>
      <c r="C87" s="105"/>
      <c r="D87" s="105"/>
      <c r="E87" s="105"/>
      <c r="F87" s="105"/>
      <c r="G87" s="105"/>
      <c r="H87" s="105"/>
      <c r="I87" s="105"/>
    </row>
    <row r="88" spans="2:10">
      <c r="B88" s="95" t="s">
        <v>114</v>
      </c>
      <c r="C88" s="105"/>
      <c r="D88" s="105"/>
      <c r="E88" s="105"/>
      <c r="F88" s="105"/>
      <c r="G88" s="105"/>
      <c r="H88" s="105"/>
      <c r="I88" s="137"/>
    </row>
    <row r="89" spans="2:10">
      <c r="B89" s="155" t="s">
        <v>115</v>
      </c>
      <c r="C89" s="105"/>
      <c r="D89" s="105"/>
      <c r="E89" s="105"/>
      <c r="F89" s="105"/>
      <c r="G89" s="105"/>
      <c r="H89" s="105"/>
      <c r="I89" s="137"/>
    </row>
    <row r="90" spans="2:10">
      <c r="B90" s="155" t="s">
        <v>116</v>
      </c>
      <c r="C90" s="105"/>
      <c r="D90" s="139"/>
      <c r="E90" s="139"/>
      <c r="F90" s="139"/>
      <c r="G90" s="139"/>
      <c r="H90" s="139"/>
      <c r="I90" s="137"/>
    </row>
    <row r="91" spans="2:10" ht="15">
      <c r="B91" s="146" t="s">
        <v>110</v>
      </c>
      <c r="C91" s="147"/>
      <c r="D91" s="139"/>
      <c r="E91" s="139"/>
      <c r="F91" s="139"/>
      <c r="G91" s="139"/>
      <c r="H91" s="139"/>
      <c r="I91" s="137"/>
    </row>
    <row r="92" spans="2:10" ht="13.5" thickBot="1">
      <c r="B92" s="149" t="s">
        <v>111</v>
      </c>
      <c r="C92" s="105"/>
      <c r="D92" s="150"/>
      <c r="E92" s="150"/>
      <c r="F92" s="150"/>
      <c r="G92" s="150"/>
      <c r="H92" s="150"/>
      <c r="I92" s="151"/>
    </row>
    <row r="93" spans="2:10" ht="13.5" thickBot="1">
      <c r="C93" s="113"/>
      <c r="D93" s="113"/>
      <c r="E93" s="113"/>
      <c r="F93" s="113"/>
      <c r="G93" s="113"/>
      <c r="H93" s="113"/>
      <c r="I93" s="113"/>
    </row>
    <row r="94" spans="2:10">
      <c r="B94" s="131" t="s">
        <v>117</v>
      </c>
      <c r="C94" s="132"/>
      <c r="D94" s="153"/>
      <c r="E94" s="153"/>
      <c r="F94" s="153"/>
      <c r="G94" s="153"/>
      <c r="H94" s="153"/>
      <c r="I94" s="133"/>
    </row>
    <row r="95" spans="2:10">
      <c r="B95" s="154" t="s">
        <v>118</v>
      </c>
      <c r="C95" s="136"/>
      <c r="D95" s="139"/>
      <c r="E95" s="139"/>
      <c r="F95" s="139"/>
      <c r="G95" s="139"/>
      <c r="H95" s="139"/>
      <c r="I95" s="137"/>
    </row>
    <row r="96" spans="2:10">
      <c r="B96" s="154"/>
      <c r="C96" s="136"/>
      <c r="D96" s="139"/>
      <c r="E96" s="139"/>
      <c r="F96" s="139"/>
      <c r="G96" s="139"/>
      <c r="H96" s="139"/>
      <c r="I96" s="137"/>
    </row>
    <row r="97" spans="2:11">
      <c r="B97" s="95" t="s">
        <v>13</v>
      </c>
      <c r="C97" s="138">
        <v>0</v>
      </c>
      <c r="D97" s="139">
        <v>1</v>
      </c>
      <c r="E97" s="139">
        <v>2</v>
      </c>
      <c r="F97" s="140">
        <v>3</v>
      </c>
      <c r="G97" s="140">
        <v>4</v>
      </c>
      <c r="H97" s="140">
        <v>5</v>
      </c>
      <c r="I97" s="137" t="s">
        <v>104</v>
      </c>
    </row>
    <row r="98" spans="2:11">
      <c r="B98" s="95" t="s">
        <v>105</v>
      </c>
      <c r="C98" s="105"/>
      <c r="D98" s="105"/>
      <c r="E98" s="105"/>
      <c r="F98" s="105"/>
      <c r="G98" s="105"/>
      <c r="H98" s="105"/>
      <c r="I98" s="105"/>
    </row>
    <row r="99" spans="2:11">
      <c r="B99" s="155" t="s">
        <v>116</v>
      </c>
      <c r="C99" s="105"/>
      <c r="D99" s="105"/>
      <c r="E99" s="105"/>
      <c r="F99" s="105"/>
      <c r="G99" s="105"/>
      <c r="H99" s="105"/>
      <c r="I99" s="137"/>
    </row>
    <row r="100" spans="2:11" ht="15">
      <c r="B100" s="146" t="s">
        <v>110</v>
      </c>
      <c r="C100" s="147"/>
      <c r="D100" s="139"/>
      <c r="E100" s="139"/>
      <c r="F100" s="139"/>
      <c r="G100" s="139"/>
      <c r="H100" s="139"/>
      <c r="I100" s="137"/>
    </row>
    <row r="101" spans="2:11" ht="13.5" thickBot="1">
      <c r="B101" s="149" t="s">
        <v>111</v>
      </c>
      <c r="C101" s="105"/>
      <c r="D101" s="150"/>
      <c r="E101" s="150"/>
      <c r="F101" s="150"/>
      <c r="G101" s="150"/>
      <c r="H101" s="150"/>
      <c r="I101" s="151"/>
    </row>
    <row r="102" spans="2:11">
      <c r="C102" s="91" t="s">
        <v>10</v>
      </c>
    </row>
    <row r="103" spans="2:11">
      <c r="C103" s="115" t="s">
        <v>10</v>
      </c>
    </row>
    <row r="105" spans="2:11" ht="13.5" thickBot="1"/>
    <row r="106" spans="2:11">
      <c r="B106" s="131" t="s">
        <v>119</v>
      </c>
      <c r="C106" s="156" t="s">
        <v>10</v>
      </c>
      <c r="D106" s="157" t="s">
        <v>10</v>
      </c>
      <c r="E106" s="158"/>
      <c r="F106" s="158"/>
      <c r="G106" s="158"/>
      <c r="H106" s="158"/>
      <c r="I106" s="158"/>
      <c r="J106" s="158"/>
      <c r="K106" s="159"/>
    </row>
    <row r="107" spans="2:11">
      <c r="B107" s="95"/>
      <c r="C107" s="160" t="s">
        <v>120</v>
      </c>
      <c r="D107" s="160"/>
      <c r="E107" s="104"/>
      <c r="F107" s="104"/>
      <c r="G107" s="104"/>
      <c r="H107" s="104"/>
      <c r="I107" s="104"/>
      <c r="J107" s="104"/>
      <c r="K107" s="161"/>
    </row>
    <row r="108" spans="2:11">
      <c r="B108" s="95" t="s">
        <v>121</v>
      </c>
      <c r="C108" s="162" t="s">
        <v>10</v>
      </c>
      <c r="D108" s="160" t="s">
        <v>10</v>
      </c>
      <c r="E108" s="104"/>
      <c r="F108" s="104"/>
      <c r="G108" s="104"/>
      <c r="H108" s="104" t="s">
        <v>10</v>
      </c>
      <c r="I108" s="104"/>
      <c r="J108" s="104"/>
      <c r="K108" s="161"/>
    </row>
    <row r="109" spans="2:11" ht="15">
      <c r="B109" s="95" t="s">
        <v>122</v>
      </c>
      <c r="C109" s="163" t="s">
        <v>10</v>
      </c>
      <c r="D109" s="160" t="s">
        <v>10</v>
      </c>
      <c r="E109" s="104"/>
      <c r="F109" s="104"/>
      <c r="G109" s="104"/>
      <c r="H109" s="104" t="s">
        <v>10</v>
      </c>
      <c r="I109" s="104"/>
      <c r="J109" s="104"/>
      <c r="K109" s="161"/>
    </row>
    <row r="110" spans="2:11">
      <c r="B110" s="95" t="s">
        <v>123</v>
      </c>
      <c r="C110" s="162" t="s">
        <v>10</v>
      </c>
      <c r="D110" s="160" t="s">
        <v>10</v>
      </c>
      <c r="E110" s="104"/>
      <c r="F110" s="104"/>
      <c r="G110" s="104"/>
      <c r="H110" s="104"/>
      <c r="I110" s="104"/>
      <c r="J110" s="104"/>
      <c r="K110" s="161"/>
    </row>
    <row r="111" spans="2:11">
      <c r="B111" s="95"/>
      <c r="C111" s="160"/>
      <c r="D111" s="160"/>
      <c r="E111" s="164" t="s">
        <v>10</v>
      </c>
      <c r="F111" s="164" t="s">
        <v>10</v>
      </c>
      <c r="G111" s="104"/>
      <c r="H111" s="104"/>
      <c r="I111" s="104"/>
      <c r="J111" s="104"/>
      <c r="K111" s="161"/>
    </row>
    <row r="112" spans="2:11">
      <c r="B112" s="95" t="s">
        <v>124</v>
      </c>
      <c r="C112" s="160"/>
      <c r="D112" s="160"/>
      <c r="E112" s="164" t="s">
        <v>10</v>
      </c>
      <c r="F112" s="104"/>
      <c r="G112" s="104"/>
      <c r="H112" s="104"/>
      <c r="I112" s="104"/>
      <c r="J112" s="104"/>
      <c r="K112" s="161"/>
    </row>
    <row r="113" spans="2:11">
      <c r="B113" s="95" t="s">
        <v>125</v>
      </c>
      <c r="C113" s="165" t="s">
        <v>10</v>
      </c>
      <c r="D113" s="104"/>
      <c r="E113" s="164" t="s">
        <v>10</v>
      </c>
      <c r="F113" s="104"/>
      <c r="G113" s="104"/>
      <c r="H113" s="104"/>
      <c r="I113" s="104"/>
      <c r="J113" s="104"/>
      <c r="K113" s="161"/>
    </row>
    <row r="114" spans="2:11" ht="15">
      <c r="B114" s="95" t="s">
        <v>126</v>
      </c>
      <c r="C114" s="163" t="s">
        <v>10</v>
      </c>
      <c r="D114" s="104"/>
      <c r="E114" s="164" t="s">
        <v>10</v>
      </c>
      <c r="F114" s="104"/>
      <c r="G114" s="104"/>
      <c r="H114" s="104"/>
      <c r="I114" s="104"/>
      <c r="J114" s="104"/>
      <c r="K114" s="161"/>
    </row>
    <row r="115" spans="2:11">
      <c r="B115" s="95" t="s">
        <v>124</v>
      </c>
      <c r="C115" s="165" t="s">
        <v>10</v>
      </c>
      <c r="D115" s="104"/>
      <c r="E115" s="164" t="s">
        <v>10</v>
      </c>
      <c r="F115" s="104"/>
      <c r="G115" s="104"/>
      <c r="H115" s="104"/>
      <c r="I115" s="104"/>
      <c r="J115" s="104"/>
      <c r="K115" s="161"/>
    </row>
    <row r="116" spans="2:11">
      <c r="B116" s="95" t="s">
        <v>127</v>
      </c>
      <c r="C116" s="166" t="s">
        <v>10</v>
      </c>
      <c r="D116" s="104"/>
      <c r="E116" s="104"/>
      <c r="F116" s="104"/>
      <c r="G116" s="104"/>
      <c r="H116" s="104"/>
      <c r="I116" s="104"/>
      <c r="J116" s="104"/>
      <c r="K116" s="161"/>
    </row>
    <row r="117" spans="2:11">
      <c r="B117" s="95"/>
      <c r="C117" s="104"/>
      <c r="D117" s="104"/>
      <c r="E117" s="104"/>
      <c r="F117" s="104"/>
      <c r="G117" s="104"/>
      <c r="H117" s="104"/>
      <c r="I117" s="104"/>
      <c r="J117" s="104"/>
      <c r="K117" s="161"/>
    </row>
    <row r="118" spans="2:11">
      <c r="B118" s="95" t="s">
        <v>128</v>
      </c>
      <c r="C118" s="104"/>
      <c r="D118" s="104"/>
      <c r="E118" s="104"/>
      <c r="F118" s="104"/>
      <c r="G118" s="104"/>
      <c r="H118" s="104"/>
      <c r="I118" s="104"/>
      <c r="J118" s="104"/>
      <c r="K118" s="161"/>
    </row>
    <row r="119" spans="2:11">
      <c r="B119" s="95" t="s">
        <v>125</v>
      </c>
      <c r="C119" s="165" t="s">
        <v>10</v>
      </c>
      <c r="D119" s="104"/>
      <c r="E119" s="104"/>
      <c r="F119" s="104"/>
      <c r="G119" s="104"/>
      <c r="H119" s="104"/>
      <c r="I119" s="104"/>
      <c r="J119" s="104"/>
      <c r="K119" s="161"/>
    </row>
    <row r="120" spans="2:11" ht="15">
      <c r="B120" s="95" t="s">
        <v>65</v>
      </c>
      <c r="C120" s="167" t="s">
        <v>10</v>
      </c>
      <c r="D120" s="104"/>
      <c r="E120" s="104"/>
      <c r="F120" s="104"/>
      <c r="G120" s="104"/>
      <c r="H120" s="104"/>
      <c r="I120" s="104"/>
      <c r="J120" s="104"/>
      <c r="K120" s="161"/>
    </row>
    <row r="121" spans="2:11" ht="13.5" thickBot="1">
      <c r="B121" s="98" t="s">
        <v>128</v>
      </c>
      <c r="C121" s="165" t="s">
        <v>10</v>
      </c>
      <c r="D121" s="168"/>
      <c r="E121" s="168"/>
      <c r="F121" s="168"/>
      <c r="G121" s="168"/>
      <c r="H121" s="168"/>
      <c r="I121" s="168"/>
      <c r="J121" s="168"/>
      <c r="K121" s="169"/>
    </row>
  </sheetData>
  <printOptions headings="1" gridLines="1"/>
  <pageMargins left="0.7" right="0.7" top="0.75" bottom="0.75" header="0.3" footer="0.3"/>
  <pageSetup scale="72" orientation="landscape" r:id="rId1"/>
  <rowBreaks count="1" manualBreakCount="1">
    <brk id="51"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showRowColHeaders="0" tabSelected="1" workbookViewId="0">
      <selection activeCell="D23" sqref="D23"/>
    </sheetView>
  </sheetViews>
  <sheetFormatPr defaultRowHeight="15"/>
  <cols>
    <col min="1" max="1" width="73" customWidth="1"/>
  </cols>
  <sheetData>
    <row r="1" spans="1:1" ht="75">
      <c r="A1" s="4" t="s">
        <v>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D11"/>
  <sheetViews>
    <sheetView workbookViewId="0">
      <selection activeCell="A2" sqref="A2:D5"/>
    </sheetView>
  </sheetViews>
  <sheetFormatPr defaultRowHeight="15"/>
  <cols>
    <col min="1" max="1" width="26.85546875" customWidth="1"/>
    <col min="2" max="2" width="25.5703125" customWidth="1"/>
    <col min="3" max="3" width="26" customWidth="1"/>
    <col min="4" max="4" width="25.42578125" customWidth="1"/>
  </cols>
  <sheetData>
    <row r="1" spans="1:4">
      <c r="A1" t="s">
        <v>0</v>
      </c>
      <c r="B1" t="s">
        <v>1</v>
      </c>
      <c r="C1" t="s">
        <v>2</v>
      </c>
      <c r="D1" t="s">
        <v>3</v>
      </c>
    </row>
    <row r="2" spans="1:4">
      <c r="A2" s="1">
        <v>43366</v>
      </c>
      <c r="B2" s="2">
        <v>0.29598379629629629</v>
      </c>
      <c r="C2" t="s">
        <v>6</v>
      </c>
      <c r="D2" t="s">
        <v>7</v>
      </c>
    </row>
    <row r="3" spans="1:4">
      <c r="A3" s="1">
        <v>43505</v>
      </c>
      <c r="B3" s="2">
        <v>0.87597222222222226</v>
      </c>
      <c r="C3" t="s">
        <v>6</v>
      </c>
      <c r="D3" t="s">
        <v>7</v>
      </c>
    </row>
    <row r="4" spans="1:4">
      <c r="A4" s="1">
        <v>43505</v>
      </c>
      <c r="B4" s="2">
        <v>0.87726851851851861</v>
      </c>
      <c r="C4" t="s">
        <v>6</v>
      </c>
      <c r="D4" t="s">
        <v>7</v>
      </c>
    </row>
    <row r="5" spans="1:4">
      <c r="A5" s="1">
        <v>43701</v>
      </c>
      <c r="B5" s="2">
        <v>0.69496527777777783</v>
      </c>
      <c r="C5" t="s">
        <v>6</v>
      </c>
      <c r="D5" t="s">
        <v>7</v>
      </c>
    </row>
    <row r="6" spans="1:4">
      <c r="A6" s="1">
        <v>43869</v>
      </c>
      <c r="B6" s="2">
        <v>0.88271990740740736</v>
      </c>
      <c r="C6" t="s">
        <v>6</v>
      </c>
      <c r="D6" t="s">
        <v>7</v>
      </c>
    </row>
    <row r="7" spans="1:4">
      <c r="A7" s="1">
        <v>43981</v>
      </c>
      <c r="B7" s="2">
        <v>0.8601388888888889</v>
      </c>
      <c r="C7" t="s">
        <v>130</v>
      </c>
      <c r="D7" t="s">
        <v>131</v>
      </c>
    </row>
    <row r="8" spans="1:4">
      <c r="A8" s="1">
        <v>43981</v>
      </c>
      <c r="B8" s="2">
        <v>0.86084490740740749</v>
      </c>
      <c r="C8" t="s">
        <v>130</v>
      </c>
      <c r="D8" t="s">
        <v>131</v>
      </c>
    </row>
    <row r="9" spans="1:4">
      <c r="A9" s="1">
        <v>44093</v>
      </c>
      <c r="B9" s="2">
        <v>0.93478009259259265</v>
      </c>
      <c r="C9" t="s">
        <v>130</v>
      </c>
      <c r="D9" t="s">
        <v>131</v>
      </c>
    </row>
    <row r="10" spans="1:4">
      <c r="A10" s="1">
        <v>44241</v>
      </c>
      <c r="B10" s="2">
        <v>0.43984953703703705</v>
      </c>
      <c r="C10" t="s">
        <v>130</v>
      </c>
      <c r="D10" t="s">
        <v>131</v>
      </c>
    </row>
    <row r="11" spans="1:4">
      <c r="A11" s="1"/>
      <c r="B11"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Announcement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 DaDalt</dc:creator>
  <cp:lastModifiedBy>Garner, Jacqueline L</cp:lastModifiedBy>
  <dcterms:created xsi:type="dcterms:W3CDTF">2018-07-30T15:58:40Z</dcterms:created>
  <dcterms:modified xsi:type="dcterms:W3CDTF">2021-02-14T15:34:21Z</dcterms:modified>
</cp:coreProperties>
</file>